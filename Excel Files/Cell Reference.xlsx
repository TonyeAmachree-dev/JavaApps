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e\OneDrive\Desktop\JavaApps\Excel Files\"/>
    </mc:Choice>
  </mc:AlternateContent>
  <xr:revisionPtr revIDLastSave="0" documentId="13_ncr:1_{826659FA-43B0-4623-A39F-FB71E69ED84F}" xr6:coauthVersionLast="47" xr6:coauthVersionMax="47" xr10:uidLastSave="{00000000-0000-0000-0000-000000000000}"/>
  <bookViews>
    <workbookView minimized="1" xWindow="768" yWindow="768" windowWidth="17280" windowHeight="9420" firstSheet="1" activeTab="3" xr2:uid="{B3B917DC-F552-4F28-9100-674774D75A2B}"/>
  </bookViews>
  <sheets>
    <sheet name="Relative cell reference" sheetId="4" r:id="rId1"/>
    <sheet name="Absolute cell ref" sheetId="2" r:id="rId2"/>
    <sheet name="Mixed cell ref" sheetId="3" r:id="rId3"/>
    <sheet name="3d cell ref" sheetId="9" r:id="rId4"/>
    <sheet name="North Branch" sheetId="1" r:id="rId5"/>
    <sheet name="South Branch" sheetId="6" r:id="rId6"/>
    <sheet name="East Branch" sheetId="7" r:id="rId7"/>
    <sheet name="West Branc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E5" i="9" s="1"/>
  <c r="D3" i="8"/>
  <c r="F5" i="9" s="1"/>
  <c r="E3" i="8"/>
  <c r="G5" i="9" s="1"/>
  <c r="F3" i="8"/>
  <c r="H5" i="9" s="1"/>
  <c r="G3" i="8"/>
  <c r="I5" i="9" s="1"/>
  <c r="H3" i="8"/>
  <c r="J5" i="9" s="1"/>
  <c r="I3" i="8"/>
  <c r="K5" i="9" s="1"/>
  <c r="J3" i="8"/>
  <c r="L5" i="9" s="1"/>
  <c r="K3" i="8"/>
  <c r="M5" i="9" s="1"/>
  <c r="L3" i="8"/>
  <c r="N5" i="9" s="1"/>
  <c r="M3" i="8"/>
  <c r="O5" i="9" s="1"/>
  <c r="C4" i="8"/>
  <c r="E6" i="9" s="1"/>
  <c r="D4" i="8"/>
  <c r="F6" i="9" s="1"/>
  <c r="E4" i="8"/>
  <c r="G6" i="9" s="1"/>
  <c r="F4" i="8"/>
  <c r="H6" i="9" s="1"/>
  <c r="G4" i="8"/>
  <c r="I6" i="9" s="1"/>
  <c r="H4" i="8"/>
  <c r="J6" i="9" s="1"/>
  <c r="I4" i="8"/>
  <c r="K6" i="9" s="1"/>
  <c r="J4" i="8"/>
  <c r="L6" i="9" s="1"/>
  <c r="K4" i="8"/>
  <c r="M6" i="9" s="1"/>
  <c r="L4" i="8"/>
  <c r="N6" i="9" s="1"/>
  <c r="M4" i="8"/>
  <c r="O6" i="9" s="1"/>
  <c r="C5" i="8"/>
  <c r="E7" i="9" s="1"/>
  <c r="D5" i="8"/>
  <c r="F7" i="9" s="1"/>
  <c r="E5" i="8"/>
  <c r="G7" i="9" s="1"/>
  <c r="F5" i="8"/>
  <c r="H7" i="9" s="1"/>
  <c r="G5" i="8"/>
  <c r="I7" i="9" s="1"/>
  <c r="H5" i="8"/>
  <c r="J7" i="9" s="1"/>
  <c r="I5" i="8"/>
  <c r="K7" i="9" s="1"/>
  <c r="J5" i="8"/>
  <c r="L7" i="9" s="1"/>
  <c r="K5" i="8"/>
  <c r="M7" i="9" s="1"/>
  <c r="L5" i="8"/>
  <c r="N7" i="9" s="1"/>
  <c r="M5" i="8"/>
  <c r="O7" i="9" s="1"/>
  <c r="C6" i="8"/>
  <c r="E8" i="9" s="1"/>
  <c r="D6" i="8"/>
  <c r="F8" i="9" s="1"/>
  <c r="E6" i="8"/>
  <c r="G8" i="9" s="1"/>
  <c r="F6" i="8"/>
  <c r="H8" i="9" s="1"/>
  <c r="G6" i="8"/>
  <c r="I8" i="9" s="1"/>
  <c r="H6" i="8"/>
  <c r="J8" i="9" s="1"/>
  <c r="I6" i="8"/>
  <c r="K8" i="9" s="1"/>
  <c r="J6" i="8"/>
  <c r="L8" i="9" s="1"/>
  <c r="K6" i="8"/>
  <c r="M8" i="9" s="1"/>
  <c r="L6" i="8"/>
  <c r="N8" i="9" s="1"/>
  <c r="M6" i="8"/>
  <c r="O8" i="9" s="1"/>
  <c r="C7" i="8"/>
  <c r="E9" i="9" s="1"/>
  <c r="D7" i="8"/>
  <c r="F9" i="9" s="1"/>
  <c r="E7" i="8"/>
  <c r="G9" i="9" s="1"/>
  <c r="F7" i="8"/>
  <c r="H9" i="9" s="1"/>
  <c r="G7" i="8"/>
  <c r="I9" i="9" s="1"/>
  <c r="H7" i="8"/>
  <c r="J9" i="9" s="1"/>
  <c r="I7" i="8"/>
  <c r="K9" i="9" s="1"/>
  <c r="J7" i="8"/>
  <c r="L9" i="9" s="1"/>
  <c r="K7" i="8"/>
  <c r="M9" i="9" s="1"/>
  <c r="L7" i="8"/>
  <c r="N9" i="9" s="1"/>
  <c r="M7" i="8"/>
  <c r="O9" i="9" s="1"/>
  <c r="C8" i="8"/>
  <c r="E10" i="9" s="1"/>
  <c r="D8" i="8"/>
  <c r="F10" i="9" s="1"/>
  <c r="E8" i="8"/>
  <c r="G10" i="9" s="1"/>
  <c r="F8" i="8"/>
  <c r="H10" i="9" s="1"/>
  <c r="G8" i="8"/>
  <c r="I10" i="9" s="1"/>
  <c r="H8" i="8"/>
  <c r="J10" i="9" s="1"/>
  <c r="I8" i="8"/>
  <c r="K10" i="9" s="1"/>
  <c r="J8" i="8"/>
  <c r="L10" i="9" s="1"/>
  <c r="K8" i="8"/>
  <c r="M10" i="9" s="1"/>
  <c r="L8" i="8"/>
  <c r="N10" i="9" s="1"/>
  <c r="M8" i="8"/>
  <c r="O10" i="9" s="1"/>
  <c r="C9" i="8"/>
  <c r="E11" i="9" s="1"/>
  <c r="D9" i="8"/>
  <c r="F11" i="9" s="1"/>
  <c r="E9" i="8"/>
  <c r="G11" i="9" s="1"/>
  <c r="F9" i="8"/>
  <c r="H11" i="9" s="1"/>
  <c r="G9" i="8"/>
  <c r="I11" i="9" s="1"/>
  <c r="H9" i="8"/>
  <c r="J11" i="9" s="1"/>
  <c r="I9" i="8"/>
  <c r="K11" i="9" s="1"/>
  <c r="J9" i="8"/>
  <c r="L11" i="9" s="1"/>
  <c r="K9" i="8"/>
  <c r="M11" i="9" s="1"/>
  <c r="L9" i="8"/>
  <c r="N11" i="9" s="1"/>
  <c r="M9" i="8"/>
  <c r="O11" i="9" s="1"/>
  <c r="C10" i="8"/>
  <c r="E12" i="9" s="1"/>
  <c r="D10" i="8"/>
  <c r="F12" i="9" s="1"/>
  <c r="E10" i="8"/>
  <c r="G12" i="9" s="1"/>
  <c r="F10" i="8"/>
  <c r="H12" i="9" s="1"/>
  <c r="G10" i="8"/>
  <c r="I12" i="9" s="1"/>
  <c r="H10" i="8"/>
  <c r="J12" i="9" s="1"/>
  <c r="I10" i="8"/>
  <c r="K12" i="9" s="1"/>
  <c r="J10" i="8"/>
  <c r="L12" i="9" s="1"/>
  <c r="K10" i="8"/>
  <c r="M12" i="9" s="1"/>
  <c r="L10" i="8"/>
  <c r="N12" i="9" s="1"/>
  <c r="M10" i="8"/>
  <c r="O12" i="9" s="1"/>
  <c r="B4" i="8"/>
  <c r="D6" i="9" s="1"/>
  <c r="B5" i="8"/>
  <c r="D7" i="9" s="1"/>
  <c r="B6" i="8"/>
  <c r="D8" i="9" s="1"/>
  <c r="B7" i="8"/>
  <c r="D9" i="9" s="1"/>
  <c r="B8" i="8"/>
  <c r="D10" i="9" s="1"/>
  <c r="B9" i="8"/>
  <c r="D11" i="9" s="1"/>
  <c r="B10" i="8"/>
  <c r="D12" i="9" s="1"/>
  <c r="B3" i="8"/>
  <c r="D5" i="9" s="1"/>
  <c r="N12" i="1"/>
  <c r="N4" i="1"/>
  <c r="N5" i="1"/>
  <c r="N6" i="1"/>
  <c r="N7" i="1"/>
  <c r="N8" i="1"/>
  <c r="N9" i="1"/>
  <c r="N10" i="1"/>
  <c r="N3" i="1"/>
  <c r="K11" i="3"/>
  <c r="K10" i="3"/>
  <c r="K9" i="3"/>
  <c r="K8" i="3"/>
  <c r="K7" i="3"/>
  <c r="K6" i="3"/>
  <c r="I7" i="3"/>
  <c r="J7" i="3"/>
  <c r="I8" i="3"/>
  <c r="J8" i="3"/>
  <c r="I9" i="3"/>
  <c r="J9" i="3"/>
  <c r="I10" i="3"/>
  <c r="J10" i="3"/>
  <c r="I11" i="3"/>
  <c r="J11" i="3"/>
  <c r="J6" i="3"/>
  <c r="I6" i="3"/>
  <c r="F5" i="2"/>
  <c r="F6" i="2"/>
  <c r="F7" i="2"/>
  <c r="F8" i="2"/>
  <c r="F9" i="2"/>
  <c r="F4" i="2"/>
  <c r="F5" i="4"/>
  <c r="F6" i="4"/>
  <c r="F7" i="4"/>
  <c r="F8" i="4"/>
  <c r="F9" i="4"/>
  <c r="F4" i="4"/>
  <c r="P5" i="9" l="1"/>
  <c r="P12" i="9"/>
  <c r="P11" i="9"/>
  <c r="P10" i="9"/>
  <c r="P9" i="9"/>
  <c r="P8" i="9"/>
  <c r="P7" i="9"/>
  <c r="P6" i="9"/>
  <c r="N9" i="8"/>
  <c r="N10" i="8"/>
  <c r="N3" i="8"/>
  <c r="N8" i="8"/>
  <c r="N7" i="8"/>
  <c r="N6" i="8"/>
  <c r="N5" i="8"/>
  <c r="N4" i="8"/>
  <c r="N12" i="7"/>
  <c r="P14" i="9" l="1"/>
  <c r="N12" i="8"/>
</calcChain>
</file>

<file path=xl/sharedStrings.xml><?xml version="1.0" encoding="utf-8"?>
<sst xmlns="http://schemas.openxmlformats.org/spreadsheetml/2006/main" count="181" uniqueCount="62">
  <si>
    <t xml:space="preserve">Name </t>
  </si>
  <si>
    <t>Designation</t>
  </si>
  <si>
    <t>Basic Salary</t>
  </si>
  <si>
    <t>Bonus</t>
  </si>
  <si>
    <t>Net Pay</t>
  </si>
  <si>
    <t>Andy Jones</t>
  </si>
  <si>
    <t>Nathan Benson</t>
  </si>
  <si>
    <t xml:space="preserve">James Williams </t>
  </si>
  <si>
    <t>John Ray</t>
  </si>
  <si>
    <t>Lucy Tomson</t>
  </si>
  <si>
    <t>Martins Clinton</t>
  </si>
  <si>
    <t xml:space="preserve">Accountant </t>
  </si>
  <si>
    <t>Director</t>
  </si>
  <si>
    <t>Manager</t>
  </si>
  <si>
    <t>Staff</t>
  </si>
  <si>
    <t>IT</t>
  </si>
  <si>
    <t>Admin</t>
  </si>
  <si>
    <t>Product</t>
  </si>
  <si>
    <t>Quantity</t>
  </si>
  <si>
    <t>Unit Price</t>
  </si>
  <si>
    <t>Total</t>
  </si>
  <si>
    <t>Shoe</t>
  </si>
  <si>
    <t>Bag</t>
  </si>
  <si>
    <t>Watch</t>
  </si>
  <si>
    <t>Laptop</t>
  </si>
  <si>
    <t>Cap</t>
  </si>
  <si>
    <t>Phone</t>
  </si>
  <si>
    <t>Customers</t>
  </si>
  <si>
    <t>Kate</t>
  </si>
  <si>
    <t>Ben</t>
  </si>
  <si>
    <t>Daniel</t>
  </si>
  <si>
    <t xml:space="preserve">James </t>
  </si>
  <si>
    <t xml:space="preserve">Lucy </t>
  </si>
  <si>
    <t>Nathan</t>
  </si>
  <si>
    <t>Discount</t>
  </si>
  <si>
    <t>Discount1</t>
  </si>
  <si>
    <t>Discount 2</t>
  </si>
  <si>
    <t>Gender</t>
  </si>
  <si>
    <t>Female</t>
  </si>
  <si>
    <t>Male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</si>
  <si>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</si>
  <si>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</si>
  <si>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</si>
  <si>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</si>
  <si>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</si>
  <si>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</si>
  <si>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</si>
  <si>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</si>
  <si>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</si>
  <si>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</si>
  <si>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</si>
  <si>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</si>
  <si>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Rice</t>
  </si>
  <si>
    <t>Beans</t>
  </si>
  <si>
    <t>Butter</t>
  </si>
  <si>
    <t>Gum</t>
  </si>
  <si>
    <t>Bread</t>
  </si>
  <si>
    <t>Ice Cream</t>
  </si>
  <si>
    <t>Milk</t>
  </si>
  <si>
    <t>Milo</t>
  </si>
  <si>
    <t>Grand total</t>
  </si>
  <si>
    <t>ABC Supermarket Sales for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</si>
</sst>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.00_-;\-[$£-809]* #,##0.00_-;_-[$£-809]* &quot;-&quot;??_-;_-@_-"/>
    <numFmt numFmtId="165" formatCode="_-[$₦-46A]* #,##0.00_-;\-[$₦-46A]* #,##0.00_-;_-[$₦-46A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9" fontId="0" fillId="0" borderId="0" xfId="2" applyFont="1"/>
    <xf numFmtId="0" fontId="0" fillId="0" borderId="1" xfId="0" applyBorder="1"/>
    <xf numFmtId="0" fontId="4" fillId="2" borderId="0" xfId="0" applyFont="1" applyFill="1" applyAlignment="1">
      <alignment horizontal="center"/>
    </xf>
    <xf numFmtId="165" fontId="0" fillId="0" borderId="0" xfId="1" applyNumberFormat="1" applyFont="1"/>
    <xf numFmtId="165" fontId="5" fillId="4" borderId="1" xfId="1" applyNumberFormat="1" applyFont="1" applyFill="1" applyBorder="1"/>
    <xf numFmtId="165" fontId="0" fillId="5" borderId="1" xfId="1" applyNumberFormat="1" applyFont="1" applyFill="1" applyBorder="1"/>
    <xf numFmtId="165" fontId="2" fillId="3" borderId="1" xfId="1" applyNumberFormat="1" applyFont="1" applyFill="1" applyBorder="1"/>
    <xf numFmtId="165" fontId="6" fillId="6" borderId="1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146C-1B32-4762-BE2D-0E3B7558B4A4}">
  <dimension ref="B3:F9"/>
  <sheetViews>
    <sheetView workbookViewId="0">
      <selection activeCell="B31" sqref="B31"/>
    </sheetView>
  </sheetViews>
  <sheetFormatPr defaultRowHeight="14.4" x14ac:dyDescent="0.3"/>
  <cols>
    <col min="2" max="2" width="14.33203125" customWidth="1"/>
    <col min="3" max="3" width="16.21875" customWidth="1"/>
    <col min="4" max="4" width="12.109375" customWidth="1"/>
    <col min="6" max="6" width="15.44140625" customWidth="1"/>
  </cols>
  <sheetData>
    <row r="3" spans="2:6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3">
      <c r="B4" t="s">
        <v>5</v>
      </c>
      <c r="C4" t="s">
        <v>11</v>
      </c>
      <c r="D4" s="1">
        <v>70000</v>
      </c>
      <c r="E4" s="2">
        <v>0.05</v>
      </c>
      <c r="F4" s="1">
        <f>D4+(D4*E4)</f>
        <v>73500</v>
      </c>
    </row>
    <row r="5" spans="2:6" x14ac:dyDescent="0.3">
      <c r="B5" t="s">
        <v>6</v>
      </c>
      <c r="C5" t="s">
        <v>12</v>
      </c>
      <c r="D5" s="1">
        <v>120000</v>
      </c>
      <c r="E5" s="2">
        <v>0.1</v>
      </c>
      <c r="F5" s="1">
        <f t="shared" ref="F5:F9" si="0">D5+(D5*E5)</f>
        <v>132000</v>
      </c>
    </row>
    <row r="6" spans="2:6" x14ac:dyDescent="0.3">
      <c r="B6" t="s">
        <v>7</v>
      </c>
      <c r="C6" t="s">
        <v>13</v>
      </c>
      <c r="D6" s="1">
        <v>100000</v>
      </c>
      <c r="E6" s="2">
        <v>0.09</v>
      </c>
      <c r="F6" s="1">
        <f t="shared" si="0"/>
        <v>109000</v>
      </c>
    </row>
    <row r="7" spans="2:6" x14ac:dyDescent="0.3">
      <c r="B7" t="s">
        <v>8</v>
      </c>
      <c r="C7" t="s">
        <v>14</v>
      </c>
      <c r="D7" s="1">
        <v>65000</v>
      </c>
      <c r="E7" s="2">
        <v>0.04</v>
      </c>
      <c r="F7" s="1">
        <f t="shared" si="0"/>
        <v>67600</v>
      </c>
    </row>
    <row r="8" spans="2:6" x14ac:dyDescent="0.3">
      <c r="B8" t="s">
        <v>9</v>
      </c>
      <c r="C8" t="s">
        <v>15</v>
      </c>
      <c r="D8" s="1">
        <v>20000</v>
      </c>
      <c r="E8" s="2">
        <v>0.02</v>
      </c>
      <c r="F8" s="1">
        <f t="shared" si="0"/>
        <v>20400</v>
      </c>
    </row>
    <row r="9" spans="2:6" x14ac:dyDescent="0.3">
      <c r="B9" t="s">
        <v>10</v>
      </c>
      <c r="C9" t="s">
        <v>16</v>
      </c>
      <c r="D9" s="1">
        <v>55000</v>
      </c>
      <c r="E9" s="2">
        <v>0.03</v>
      </c>
      <c r="F9" s="1">
        <f t="shared" si="0"/>
        <v>56650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C98C-ED7A-40E1-B1B1-BB38EFFA9F26}">
  <dimension ref="B2:F9"/>
  <sheetViews>
    <sheetView workbookViewId="0">
      <selection activeCell="D31" sqref="D31"/>
    </sheetView>
  </sheetViews>
  <sheetFormatPr defaultRowHeight="14.4" x14ac:dyDescent="0.3"/>
  <cols>
    <col min="3" max="3" width="11.77734375" customWidth="1"/>
    <col min="5" max="6" width="10.33203125" bestFit="1" customWidth="1"/>
  </cols>
  <sheetData>
    <row r="2" spans="2:6" x14ac:dyDescent="0.3">
      <c r="D2" s="3" t="s">
        <v>34</v>
      </c>
      <c r="E2" s="2">
        <v>7.0000000000000007E-2</v>
      </c>
    </row>
    <row r="3" spans="2:6" x14ac:dyDescent="0.3">
      <c r="B3" t="s">
        <v>17</v>
      </c>
      <c r="C3" t="s">
        <v>27</v>
      </c>
      <c r="D3" t="s">
        <v>18</v>
      </c>
      <c r="E3" t="s">
        <v>19</v>
      </c>
      <c r="F3" t="s">
        <v>20</v>
      </c>
    </row>
    <row r="4" spans="2:6" x14ac:dyDescent="0.3">
      <c r="B4" t="s">
        <v>21</v>
      </c>
      <c r="C4" t="s">
        <v>28</v>
      </c>
      <c r="D4">
        <v>1</v>
      </c>
      <c r="E4" s="1">
        <v>9000</v>
      </c>
      <c r="F4" s="1">
        <f>D4*E4-(D4*E4*$E$2)</f>
        <v>8370</v>
      </c>
    </row>
    <row r="5" spans="2:6" x14ac:dyDescent="0.3">
      <c r="B5" t="s">
        <v>22</v>
      </c>
      <c r="C5" t="s">
        <v>29</v>
      </c>
      <c r="D5">
        <v>2</v>
      </c>
      <c r="E5" s="1">
        <v>4500</v>
      </c>
      <c r="F5" s="1">
        <f t="shared" ref="F5:F9" si="0">D5*E5-(D5*E5*$E$2)</f>
        <v>8370</v>
      </c>
    </row>
    <row r="6" spans="2:6" x14ac:dyDescent="0.3">
      <c r="B6" t="s">
        <v>23</v>
      </c>
      <c r="C6" t="s">
        <v>30</v>
      </c>
      <c r="D6">
        <v>1</v>
      </c>
      <c r="E6" s="1">
        <v>1500</v>
      </c>
      <c r="F6" s="1">
        <f t="shared" si="0"/>
        <v>1395</v>
      </c>
    </row>
    <row r="7" spans="2:6" x14ac:dyDescent="0.3">
      <c r="B7" t="s">
        <v>25</v>
      </c>
      <c r="C7" t="s">
        <v>31</v>
      </c>
      <c r="D7">
        <v>1</v>
      </c>
      <c r="E7" s="1">
        <v>150</v>
      </c>
      <c r="F7" s="1">
        <f t="shared" si="0"/>
        <v>139.5</v>
      </c>
    </row>
    <row r="8" spans="2:6" x14ac:dyDescent="0.3">
      <c r="B8" t="s">
        <v>24</v>
      </c>
      <c r="C8" t="s">
        <v>32</v>
      </c>
      <c r="D8">
        <v>1</v>
      </c>
      <c r="E8" s="1">
        <v>7000</v>
      </c>
      <c r="F8" s="1">
        <f t="shared" si="0"/>
        <v>6510</v>
      </c>
    </row>
    <row r="9" spans="2:6" x14ac:dyDescent="0.3">
      <c r="B9" t="s">
        <v>26</v>
      </c>
      <c r="C9" t="s">
        <v>33</v>
      </c>
      <c r="D9">
        <v>2</v>
      </c>
      <c r="E9" s="1">
        <v>3500</v>
      </c>
      <c r="F9" s="1">
        <f t="shared" si="0"/>
        <v>6510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F2AA-6267-422E-A5AD-1F0EAC9E0CA0}">
  <dimension ref="D4:K11"/>
  <sheetViews>
    <sheetView workbookViewId="0">
      <selection activeCell="K12" sqref="K12"/>
    </sheetView>
  </sheetViews>
  <sheetFormatPr defaultRowHeight="14.4" x14ac:dyDescent="0.3"/>
  <cols>
    <col min="5" max="5" width="11.33203125" customWidth="1"/>
    <col min="8" max="8" width="12.44140625" customWidth="1"/>
    <col min="9" max="9" width="13.44140625" customWidth="1"/>
    <col min="10" max="10" width="11.33203125" customWidth="1"/>
    <col min="11" max="11" width="13.33203125" customWidth="1"/>
    <col min="12" max="12" width="13.88671875" customWidth="1"/>
  </cols>
  <sheetData>
    <row r="4" spans="4:11" x14ac:dyDescent="0.3">
      <c r="G4" s="3"/>
      <c r="H4" s="2"/>
      <c r="I4" s="2">
        <v>0.05</v>
      </c>
      <c r="J4" s="2">
        <v>7.0000000000000007E-2</v>
      </c>
    </row>
    <row r="5" spans="4:11" x14ac:dyDescent="0.3">
      <c r="D5" t="s">
        <v>17</v>
      </c>
      <c r="E5" t="s">
        <v>27</v>
      </c>
      <c r="F5" t="s">
        <v>37</v>
      </c>
      <c r="G5" t="s">
        <v>18</v>
      </c>
      <c r="H5" t="s">
        <v>19</v>
      </c>
      <c r="I5" t="s">
        <v>35</v>
      </c>
      <c r="J5" t="s">
        <v>36</v>
      </c>
      <c r="K5" t="s">
        <v>20</v>
      </c>
    </row>
    <row r="6" spans="4:11" x14ac:dyDescent="0.3">
      <c r="D6" t="s">
        <v>21</v>
      </c>
      <c r="E6" t="s">
        <v>28</v>
      </c>
      <c r="F6" t="s">
        <v>38</v>
      </c>
      <c r="G6">
        <v>1</v>
      </c>
      <c r="H6" s="1">
        <v>9000</v>
      </c>
      <c r="I6" s="1">
        <f>($G6*$H6)-($G6*$H6*I$4)</f>
        <v>8550</v>
      </c>
      <c r="J6" s="1">
        <f>($G6*$H6)-($G6*$H6*J$4)</f>
        <v>8370</v>
      </c>
      <c r="K6" s="1">
        <f>I6</f>
        <v>8550</v>
      </c>
    </row>
    <row r="7" spans="4:11" x14ac:dyDescent="0.3">
      <c r="D7" t="s">
        <v>22</v>
      </c>
      <c r="E7" t="s">
        <v>29</v>
      </c>
      <c r="F7" t="s">
        <v>39</v>
      </c>
      <c r="G7">
        <v>2</v>
      </c>
      <c r="H7" s="1">
        <v>4500</v>
      </c>
      <c r="I7" s="1">
        <f t="shared" ref="I7:J11" si="0">($G7*$H7)-($G7*$H7*I$4)</f>
        <v>8550</v>
      </c>
      <c r="J7" s="1">
        <f t="shared" si="0"/>
        <v>8370</v>
      </c>
      <c r="K7" s="1">
        <f>J7</f>
        <v>8370</v>
      </c>
    </row>
    <row r="8" spans="4:11" x14ac:dyDescent="0.3">
      <c r="D8" t="s">
        <v>23</v>
      </c>
      <c r="E8" t="s">
        <v>30</v>
      </c>
      <c r="F8" t="s">
        <v>39</v>
      </c>
      <c r="G8">
        <v>1</v>
      </c>
      <c r="H8" s="1">
        <v>1500</v>
      </c>
      <c r="I8" s="1">
        <f t="shared" si="0"/>
        <v>1425</v>
      </c>
      <c r="J8" s="1">
        <f t="shared" si="0"/>
        <v>1395</v>
      </c>
      <c r="K8" s="1">
        <f>J8</f>
        <v>1395</v>
      </c>
    </row>
    <row r="9" spans="4:11" x14ac:dyDescent="0.3">
      <c r="D9" t="s">
        <v>25</v>
      </c>
      <c r="E9" t="s">
        <v>31</v>
      </c>
      <c r="F9" t="s">
        <v>39</v>
      </c>
      <c r="G9">
        <v>1</v>
      </c>
      <c r="H9" s="1">
        <v>150</v>
      </c>
      <c r="I9" s="1">
        <f t="shared" si="0"/>
        <v>142.5</v>
      </c>
      <c r="J9" s="1">
        <f t="shared" si="0"/>
        <v>139.5</v>
      </c>
      <c r="K9" s="1">
        <f>J9</f>
        <v>139.5</v>
      </c>
    </row>
    <row r="10" spans="4:11" x14ac:dyDescent="0.3">
      <c r="D10" t="s">
        <v>24</v>
      </c>
      <c r="E10" t="s">
        <v>32</v>
      </c>
      <c r="F10" t="s">
        <v>38</v>
      </c>
      <c r="G10">
        <v>1</v>
      </c>
      <c r="H10" s="1">
        <v>7000</v>
      </c>
      <c r="I10" s="1">
        <f t="shared" si="0"/>
        <v>6650</v>
      </c>
      <c r="J10" s="1">
        <f t="shared" si="0"/>
        <v>6510</v>
      </c>
      <c r="K10" s="1">
        <f>I10</f>
        <v>6650</v>
      </c>
    </row>
    <row r="11" spans="4:11" x14ac:dyDescent="0.3">
      <c r="D11" t="s">
        <v>26</v>
      </c>
      <c r="E11" t="s">
        <v>33</v>
      </c>
      <c r="F11" t="s">
        <v>39</v>
      </c>
      <c r="G11">
        <v>2</v>
      </c>
      <c r="H11" s="1">
        <v>3500</v>
      </c>
      <c r="I11" s="1">
        <f t="shared" si="0"/>
        <v>6650</v>
      </c>
      <c r="J11" s="1">
        <f t="shared" si="0"/>
        <v>6510</v>
      </c>
      <c r="K11" s="1">
        <f>J11</f>
        <v>6510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FCA2-AEA5-4016-A0E7-D0E53485FB35}">
  <dimension ref="C3:P14"/>
  <sheetViews>
    <sheetView tabSelected="1" topLeftCell="G1" zoomScale="115" zoomScaleNormal="115" workbookViewId="0">
      <selection activeCell="G6" sqref="G6"/>
    </sheetView>
  </sheetViews>
  <sheetFormatPr defaultRowHeight="14.4" x14ac:dyDescent="0.3"/>
  <cols>
    <col min="4" max="4" width="11.6640625" bestFit="1" customWidth="1"/>
    <col min="5" max="5" width="14.5546875" customWidth="1"/>
    <col min="6" max="6" width="17" customWidth="1"/>
    <col min="7" max="7" width="15.77734375" customWidth="1"/>
    <col min="8" max="8" width="18.6640625" customWidth="1"/>
    <col min="9" max="9" width="18.88671875" customWidth="1"/>
    <col min="10" max="11" width="13.6640625" customWidth="1"/>
    <col min="12" max="12" width="12.44140625" customWidth="1"/>
    <col min="13" max="13" width="15.109375" customWidth="1"/>
    <col min="14" max="14" width="16.33203125" customWidth="1"/>
    <col min="15" max="15" width="16.88671875" customWidth="1"/>
    <col min="16" max="16" width="16.77734375" customWidth="1"/>
  </cols>
  <sheetData>
    <row r="3" spans="3:16" ht="18" x14ac:dyDescent="0.35">
      <c r="C3" s="4" t="s">
        <v>61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3:16" x14ac:dyDescent="0.3">
      <c r="C4" t="s">
        <v>17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20</v>
      </c>
    </row>
    <row r="5" spans="3:16" x14ac:dyDescent="0.3">
      <c r="C5" t="s">
        <v>52</v>
      </c>
      <c r="D5" s="5">
        <f ca="1">SUM('North Branch:West Branch'!B3)</f>
        <v>29689</v>
      </c>
      <c r="E5" s="5">
        <f ca="1">SUM('North Branch:West Branch'!C3)</f>
        <v>24343</v>
      </c>
      <c r="F5" s="5">
        <f ca="1">SUM('North Branch:West Branch'!D3)</f>
        <v>32866</v>
      </c>
      <c r="G5" s="5">
        <f ca="1">SUM('North Branch:West Branch'!E3)</f>
        <v>28304</v>
      </c>
      <c r="H5" s="5">
        <f ca="1">SUM('North Branch:West Branch'!F3)</f>
        <v>27850</v>
      </c>
      <c r="I5" s="5">
        <f ca="1">SUM('North Branch:West Branch'!G3)</f>
        <v>33027</v>
      </c>
      <c r="J5" s="5">
        <f ca="1">SUM('North Branch:West Branch'!H3)</f>
        <v>30510</v>
      </c>
      <c r="K5" s="5">
        <f ca="1">SUM('North Branch:West Branch'!I3)</f>
        <v>26523</v>
      </c>
      <c r="L5" s="5">
        <f ca="1">SUM('North Branch:West Branch'!J3)</f>
        <v>30548</v>
      </c>
      <c r="M5" s="5">
        <f ca="1">SUM('North Branch:West Branch'!K3)</f>
        <v>32035</v>
      </c>
      <c r="N5" s="5">
        <f ca="1">SUM('North Branch:West Branch'!L3)</f>
        <v>27829</v>
      </c>
      <c r="O5" s="5">
        <f ca="1">SUM('North Branch:West Branch'!M3)</f>
        <v>29242</v>
      </c>
      <c r="P5" s="5">
        <f ca="1">SUM(D5:O5)</f>
        <v>352766</v>
      </c>
    </row>
    <row r="6" spans="3:16" x14ac:dyDescent="0.3">
      <c r="C6" t="s">
        <v>53</v>
      </c>
      <c r="D6" s="5">
        <f ca="1">SUM('North Branch:West Branch'!B4)</f>
        <v>28180</v>
      </c>
      <c r="E6" s="5">
        <f ca="1">SUM('North Branch:West Branch'!C4)</f>
        <v>27803</v>
      </c>
      <c r="F6" s="5">
        <f ca="1">SUM('North Branch:West Branch'!D4)</f>
        <v>31661</v>
      </c>
      <c r="G6" s="5">
        <f ca="1">SUM('North Branch:West Branch'!E4)</f>
        <v>29758</v>
      </c>
      <c r="H6" s="5">
        <f ca="1">SUM('North Branch:West Branch'!F4)</f>
        <v>29692</v>
      </c>
      <c r="I6" s="5">
        <f ca="1">SUM('North Branch:West Branch'!G4)</f>
        <v>30521</v>
      </c>
      <c r="J6" s="5">
        <f ca="1">SUM('North Branch:West Branch'!H4)</f>
        <v>34255</v>
      </c>
      <c r="K6" s="5">
        <f ca="1">SUM('North Branch:West Branch'!I4)</f>
        <v>35306</v>
      </c>
      <c r="L6" s="5">
        <f ca="1">SUM('North Branch:West Branch'!J4)</f>
        <v>33094</v>
      </c>
      <c r="M6" s="5">
        <f ca="1">SUM('North Branch:West Branch'!K4)</f>
        <v>31184</v>
      </c>
      <c r="N6" s="5">
        <f ca="1">SUM('North Branch:West Branch'!L4)</f>
        <v>26689</v>
      </c>
      <c r="O6" s="5">
        <f ca="1">SUM('North Branch:West Branch'!M4)</f>
        <v>31468</v>
      </c>
      <c r="P6" s="5">
        <f t="shared" ref="P6:P12" ca="1" si="0">SUM(D6:O6)</f>
        <v>369611</v>
      </c>
    </row>
    <row r="7" spans="3:16" x14ac:dyDescent="0.3">
      <c r="C7" t="s">
        <v>54</v>
      </c>
      <c r="D7" s="5">
        <f ca="1">SUM('North Branch:West Branch'!B5)</f>
        <v>29199</v>
      </c>
      <c r="E7" s="5">
        <f ca="1">SUM('North Branch:West Branch'!C5)</f>
        <v>33668</v>
      </c>
      <c r="F7" s="5">
        <f ca="1">SUM('North Branch:West Branch'!D5)</f>
        <v>25875</v>
      </c>
      <c r="G7" s="5">
        <f ca="1">SUM('North Branch:West Branch'!E5)</f>
        <v>33873</v>
      </c>
      <c r="H7" s="5">
        <f ca="1">SUM('North Branch:West Branch'!F5)</f>
        <v>24384</v>
      </c>
      <c r="I7" s="5">
        <f ca="1">SUM('North Branch:West Branch'!G5)</f>
        <v>29164</v>
      </c>
      <c r="J7" s="5">
        <f ca="1">SUM('North Branch:West Branch'!H5)</f>
        <v>25544</v>
      </c>
      <c r="K7" s="5">
        <f ca="1">SUM('North Branch:West Branch'!I5)</f>
        <v>28739</v>
      </c>
      <c r="L7" s="5">
        <f ca="1">SUM('North Branch:West Branch'!J5)</f>
        <v>26050</v>
      </c>
      <c r="M7" s="5">
        <f ca="1">SUM('North Branch:West Branch'!K5)</f>
        <v>31955</v>
      </c>
      <c r="N7" s="5">
        <f ca="1">SUM('North Branch:West Branch'!L5)</f>
        <v>31512</v>
      </c>
      <c r="O7" s="5">
        <f ca="1">SUM('North Branch:West Branch'!M5)</f>
        <v>36545</v>
      </c>
      <c r="P7" s="5">
        <f t="shared" ca="1" si="0"/>
        <v>356508</v>
      </c>
    </row>
    <row r="8" spans="3:16" x14ac:dyDescent="0.3">
      <c r="C8" t="s">
        <v>55</v>
      </c>
      <c r="D8" s="5">
        <f ca="1">SUM('North Branch:West Branch'!B6)</f>
        <v>27012</v>
      </c>
      <c r="E8" s="5">
        <f ca="1">SUM('North Branch:West Branch'!C6)</f>
        <v>31305</v>
      </c>
      <c r="F8" s="5">
        <f ca="1">SUM('North Branch:West Branch'!D6)</f>
        <v>28364</v>
      </c>
      <c r="G8" s="5">
        <f ca="1">SUM('North Branch:West Branch'!E6)</f>
        <v>31042</v>
      </c>
      <c r="H8" s="5">
        <f ca="1">SUM('North Branch:West Branch'!F6)</f>
        <v>27310</v>
      </c>
      <c r="I8" s="5">
        <f ca="1">SUM('North Branch:West Branch'!G6)</f>
        <v>33714</v>
      </c>
      <c r="J8" s="5">
        <f ca="1">SUM('North Branch:West Branch'!H6)</f>
        <v>30451</v>
      </c>
      <c r="K8" s="5">
        <f ca="1">SUM('North Branch:West Branch'!I6)</f>
        <v>28683</v>
      </c>
      <c r="L8" s="5">
        <f ca="1">SUM('North Branch:West Branch'!J6)</f>
        <v>33656</v>
      </c>
      <c r="M8" s="5">
        <f ca="1">SUM('North Branch:West Branch'!K6)</f>
        <v>32920</v>
      </c>
      <c r="N8" s="5">
        <f ca="1">SUM('North Branch:West Branch'!L6)</f>
        <v>31450</v>
      </c>
      <c r="O8" s="5">
        <f ca="1">SUM('North Branch:West Branch'!M6)</f>
        <v>31767</v>
      </c>
      <c r="P8" s="5">
        <f t="shared" ca="1" si="0"/>
        <v>367674</v>
      </c>
    </row>
    <row r="9" spans="3:16" x14ac:dyDescent="0.3">
      <c r="C9" t="s">
        <v>56</v>
      </c>
      <c r="D9" s="5">
        <f ca="1">SUM('North Branch:West Branch'!B7)</f>
        <v>31110</v>
      </c>
      <c r="E9" s="5">
        <f ca="1">SUM('North Branch:West Branch'!C7)</f>
        <v>28806</v>
      </c>
      <c r="F9" s="5">
        <f ca="1">SUM('North Branch:West Branch'!D7)</f>
        <v>36215</v>
      </c>
      <c r="G9" s="5">
        <f ca="1">SUM('North Branch:West Branch'!E7)</f>
        <v>25595</v>
      </c>
      <c r="H9" s="5">
        <f ca="1">SUM('North Branch:West Branch'!F7)</f>
        <v>34957</v>
      </c>
      <c r="I9" s="5">
        <f ca="1">SUM('North Branch:West Branch'!G7)</f>
        <v>34476</v>
      </c>
      <c r="J9" s="5">
        <f ca="1">SUM('North Branch:West Branch'!H7)</f>
        <v>32913</v>
      </c>
      <c r="K9" s="5">
        <f ca="1">SUM('North Branch:West Branch'!I7)</f>
        <v>31244</v>
      </c>
      <c r="L9" s="5">
        <f ca="1">SUM('North Branch:West Branch'!J7)</f>
        <v>25901</v>
      </c>
      <c r="M9" s="5">
        <f ca="1">SUM('North Branch:West Branch'!K7)</f>
        <v>34109</v>
      </c>
      <c r="N9" s="5">
        <f ca="1">SUM('North Branch:West Branch'!L7)</f>
        <v>37886</v>
      </c>
      <c r="O9" s="5">
        <f ca="1">SUM('North Branch:West Branch'!M7)</f>
        <v>29431</v>
      </c>
      <c r="P9" s="5">
        <f t="shared" ca="1" si="0"/>
        <v>382643</v>
      </c>
    </row>
    <row r="10" spans="3:16" x14ac:dyDescent="0.3">
      <c r="C10" t="s">
        <v>57</v>
      </c>
      <c r="D10" s="5">
        <f ca="1">SUM('North Branch:West Branch'!B8)</f>
        <v>30395</v>
      </c>
      <c r="E10" s="5">
        <f ca="1">SUM('North Branch:West Branch'!C8)</f>
        <v>28533</v>
      </c>
      <c r="F10" s="5">
        <f ca="1">SUM('North Branch:West Branch'!D8)</f>
        <v>27156</v>
      </c>
      <c r="G10" s="5">
        <f ca="1">SUM('North Branch:West Branch'!E8)</f>
        <v>29932</v>
      </c>
      <c r="H10" s="5">
        <f ca="1">SUM('North Branch:West Branch'!F8)</f>
        <v>33849</v>
      </c>
      <c r="I10" s="5">
        <f ca="1">SUM('North Branch:West Branch'!G8)</f>
        <v>27892</v>
      </c>
      <c r="J10" s="5">
        <f ca="1">SUM('North Branch:West Branch'!H8)</f>
        <v>29695</v>
      </c>
      <c r="K10" s="5">
        <f ca="1">SUM('North Branch:West Branch'!I8)</f>
        <v>33035</v>
      </c>
      <c r="L10" s="5">
        <f ca="1">SUM('North Branch:West Branch'!J8)</f>
        <v>30658</v>
      </c>
      <c r="M10" s="5">
        <f ca="1">SUM('North Branch:West Branch'!K8)</f>
        <v>33360</v>
      </c>
      <c r="N10" s="5">
        <f ca="1">SUM('North Branch:West Branch'!L8)</f>
        <v>34926</v>
      </c>
      <c r="O10" s="5">
        <f ca="1">SUM('North Branch:West Branch'!M8)</f>
        <v>34690</v>
      </c>
      <c r="P10" s="5">
        <f t="shared" ca="1" si="0"/>
        <v>374121</v>
      </c>
    </row>
    <row r="11" spans="3:16" x14ac:dyDescent="0.3">
      <c r="C11" t="s">
        <v>58</v>
      </c>
      <c r="D11" s="5">
        <f ca="1">SUM('North Branch:West Branch'!B9)</f>
        <v>27912</v>
      </c>
      <c r="E11" s="5">
        <f ca="1">SUM('North Branch:West Branch'!C9)</f>
        <v>29271</v>
      </c>
      <c r="F11" s="5">
        <f ca="1">SUM('North Branch:West Branch'!D9)</f>
        <v>26906</v>
      </c>
      <c r="G11" s="5">
        <f ca="1">SUM('North Branch:West Branch'!E9)</f>
        <v>27131</v>
      </c>
      <c r="H11" s="5">
        <f ca="1">SUM('North Branch:West Branch'!F9)</f>
        <v>28237</v>
      </c>
      <c r="I11" s="5">
        <f ca="1">SUM('North Branch:West Branch'!G9)</f>
        <v>24075</v>
      </c>
      <c r="J11" s="5">
        <f ca="1">SUM('North Branch:West Branch'!H9)</f>
        <v>35015</v>
      </c>
      <c r="K11" s="5">
        <f ca="1">SUM('North Branch:West Branch'!I9)</f>
        <v>32587</v>
      </c>
      <c r="L11" s="5">
        <f ca="1">SUM('North Branch:West Branch'!J9)</f>
        <v>33446</v>
      </c>
      <c r="M11" s="5">
        <f ca="1">SUM('North Branch:West Branch'!K9)</f>
        <v>26453</v>
      </c>
      <c r="N11" s="5">
        <f ca="1">SUM('North Branch:West Branch'!L9)</f>
        <v>31038</v>
      </c>
      <c r="O11" s="5">
        <f ca="1">SUM('North Branch:West Branch'!M9)</f>
        <v>28799</v>
      </c>
      <c r="P11" s="5">
        <f t="shared" ca="1" si="0"/>
        <v>350870</v>
      </c>
    </row>
    <row r="12" spans="3:16" x14ac:dyDescent="0.3">
      <c r="C12" t="s">
        <v>59</v>
      </c>
      <c r="D12" s="5">
        <f ca="1">SUM('North Branch:West Branch'!B10)</f>
        <v>30360</v>
      </c>
      <c r="E12" s="5">
        <f ca="1">SUM('North Branch:West Branch'!C10)</f>
        <v>32101</v>
      </c>
      <c r="F12" s="5">
        <f ca="1">SUM('North Branch:West Branch'!D10)</f>
        <v>33909</v>
      </c>
      <c r="G12" s="5">
        <f ca="1">SUM('North Branch:West Branch'!E10)</f>
        <v>31917</v>
      </c>
      <c r="H12" s="5">
        <f ca="1">SUM('North Branch:West Branch'!F10)</f>
        <v>33217</v>
      </c>
      <c r="I12" s="5">
        <f ca="1">SUM('North Branch:West Branch'!G10)</f>
        <v>35909</v>
      </c>
      <c r="J12" s="5">
        <f ca="1">SUM('North Branch:West Branch'!H10)</f>
        <v>27885</v>
      </c>
      <c r="K12" s="5">
        <f ca="1">SUM('North Branch:West Branch'!I10)</f>
        <v>31695</v>
      </c>
      <c r="L12" s="5">
        <f ca="1">SUM('North Branch:West Branch'!J10)</f>
        <v>31619</v>
      </c>
      <c r="M12" s="5">
        <f ca="1">SUM('North Branch:West Branch'!K10)</f>
        <v>29268</v>
      </c>
      <c r="N12" s="5">
        <f ca="1">SUM('North Branch:West Branch'!L10)</f>
        <v>25667</v>
      </c>
      <c r="O12" s="5">
        <f ca="1">SUM('North Branch:West Branch'!M10)</f>
        <v>27915</v>
      </c>
      <c r="P12" s="5">
        <f t="shared" ca="1" si="0"/>
        <v>371462</v>
      </c>
    </row>
    <row r="14" spans="3:16" x14ac:dyDescent="0.3">
      <c r="C14" s="3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9">
        <f ca="1">SUM(P5:P12)</f>
        <v>2925655</v>
      </c>
    </row>
  </sheetData>
  <mergeCells count="1">
    <mergeCell ref="C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8ADA-E4E5-495B-B63B-7729E78A18D3}">
  <dimension ref="A1:N12"/>
  <sheetViews>
    <sheetView workbookViewId="0">
      <selection activeCell="M10" sqref="M10"/>
    </sheetView>
  </sheetViews>
  <sheetFormatPr defaultRowHeight="14.4" x14ac:dyDescent="0.3"/>
  <cols>
    <col min="2" max="12" width="10.6640625" bestFit="1" customWidth="1"/>
    <col min="13" max="13" width="12.33203125" customWidth="1"/>
    <col min="14" max="14" width="12.6640625" bestFit="1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v>6730</v>
      </c>
      <c r="C3" s="5">
        <v>5224</v>
      </c>
      <c r="D3" s="5">
        <v>9768</v>
      </c>
      <c r="E3" s="5">
        <v>5703</v>
      </c>
      <c r="F3" s="5">
        <v>6561</v>
      </c>
      <c r="G3" s="5">
        <v>9326</v>
      </c>
      <c r="H3" s="5">
        <v>6568</v>
      </c>
      <c r="I3" s="5">
        <v>7952</v>
      </c>
      <c r="J3" s="5">
        <v>7066</v>
      </c>
      <c r="K3" s="5">
        <v>8928</v>
      </c>
      <c r="L3" s="5">
        <v>5470</v>
      </c>
      <c r="M3" s="5">
        <v>5452</v>
      </c>
      <c r="N3" s="5">
        <f>SUM(B3:M3)</f>
        <v>84748</v>
      </c>
    </row>
    <row r="4" spans="1:14" x14ac:dyDescent="0.3">
      <c r="A4" t="s">
        <v>53</v>
      </c>
      <c r="B4" s="5">
        <v>6106</v>
      </c>
      <c r="C4" s="5">
        <v>8173</v>
      </c>
      <c r="D4" s="5">
        <v>7608</v>
      </c>
      <c r="E4" s="5">
        <v>9510</v>
      </c>
      <c r="F4" s="5">
        <v>9514</v>
      </c>
      <c r="G4" s="5">
        <v>7513</v>
      </c>
      <c r="H4" s="5">
        <v>8296</v>
      </c>
      <c r="I4" s="5">
        <v>8454</v>
      </c>
      <c r="J4" s="5">
        <v>8193</v>
      </c>
      <c r="K4" s="5">
        <v>7320</v>
      </c>
      <c r="L4" s="5">
        <v>5183</v>
      </c>
      <c r="M4" s="5">
        <v>7858</v>
      </c>
      <c r="N4" s="5">
        <f t="shared" ref="N4:N10" si="0">SUM(B4:M4)</f>
        <v>93728</v>
      </c>
    </row>
    <row r="5" spans="1:14" x14ac:dyDescent="0.3">
      <c r="A5" t="s">
        <v>54</v>
      </c>
      <c r="B5" s="5">
        <v>7434</v>
      </c>
      <c r="C5" s="5">
        <v>9136</v>
      </c>
      <c r="D5" s="5">
        <v>5329</v>
      </c>
      <c r="E5" s="5">
        <v>8106</v>
      </c>
      <c r="F5" s="5">
        <v>6464</v>
      </c>
      <c r="G5" s="5">
        <v>8504</v>
      </c>
      <c r="H5" s="5">
        <v>6011</v>
      </c>
      <c r="I5" s="5">
        <v>8226</v>
      </c>
      <c r="J5" s="5">
        <v>5947</v>
      </c>
      <c r="K5" s="5">
        <v>5074</v>
      </c>
      <c r="L5" s="5">
        <v>9897</v>
      </c>
      <c r="M5" s="5">
        <v>9263</v>
      </c>
      <c r="N5" s="5">
        <f t="shared" si="0"/>
        <v>89391</v>
      </c>
    </row>
    <row r="6" spans="1:14" x14ac:dyDescent="0.3">
      <c r="A6" t="s">
        <v>55</v>
      </c>
      <c r="B6" s="5">
        <v>6203</v>
      </c>
      <c r="C6" s="5">
        <v>8323</v>
      </c>
      <c r="D6" s="5">
        <v>6815</v>
      </c>
      <c r="E6" s="5">
        <v>8635</v>
      </c>
      <c r="F6" s="5">
        <v>8517</v>
      </c>
      <c r="G6" s="5">
        <v>8533</v>
      </c>
      <c r="H6" s="5">
        <v>8821</v>
      </c>
      <c r="I6" s="5">
        <v>5377</v>
      </c>
      <c r="J6" s="5">
        <v>7805</v>
      </c>
      <c r="K6" s="5">
        <v>7052</v>
      </c>
      <c r="L6" s="5">
        <v>5148</v>
      </c>
      <c r="M6" s="5">
        <v>7736</v>
      </c>
      <c r="N6" s="5">
        <f t="shared" si="0"/>
        <v>88965</v>
      </c>
    </row>
    <row r="7" spans="1:14" x14ac:dyDescent="0.3">
      <c r="A7" t="s">
        <v>56</v>
      </c>
      <c r="B7" s="5">
        <v>8163</v>
      </c>
      <c r="C7" s="5">
        <v>6096</v>
      </c>
      <c r="D7" s="5">
        <v>9694</v>
      </c>
      <c r="E7" s="5">
        <v>5161</v>
      </c>
      <c r="F7" s="5">
        <v>9118</v>
      </c>
      <c r="G7" s="5">
        <v>8946</v>
      </c>
      <c r="H7" s="5">
        <v>8459</v>
      </c>
      <c r="I7" s="5">
        <v>9023</v>
      </c>
      <c r="J7" s="5">
        <v>5542</v>
      </c>
      <c r="K7" s="5">
        <v>8640</v>
      </c>
      <c r="L7" s="5">
        <v>9789</v>
      </c>
      <c r="M7" s="5">
        <v>7448</v>
      </c>
      <c r="N7" s="5">
        <f t="shared" si="0"/>
        <v>96079</v>
      </c>
    </row>
    <row r="8" spans="1:14" x14ac:dyDescent="0.3">
      <c r="A8" t="s">
        <v>57</v>
      </c>
      <c r="B8" s="5">
        <v>5793</v>
      </c>
      <c r="C8" s="5">
        <v>5915</v>
      </c>
      <c r="D8" s="5">
        <v>7063</v>
      </c>
      <c r="E8" s="5">
        <v>8288</v>
      </c>
      <c r="F8" s="5">
        <v>5969</v>
      </c>
      <c r="G8" s="5">
        <v>8962</v>
      </c>
      <c r="H8" s="5">
        <v>6894</v>
      </c>
      <c r="I8" s="5">
        <v>8953</v>
      </c>
      <c r="J8" s="5">
        <v>9510</v>
      </c>
      <c r="K8" s="5">
        <v>5125</v>
      </c>
      <c r="L8" s="5">
        <v>8662</v>
      </c>
      <c r="M8" s="5">
        <v>9429</v>
      </c>
      <c r="N8" s="5">
        <f t="shared" si="0"/>
        <v>90563</v>
      </c>
    </row>
    <row r="9" spans="1:14" x14ac:dyDescent="0.3">
      <c r="A9" t="s">
        <v>58</v>
      </c>
      <c r="B9" s="5">
        <v>7550</v>
      </c>
      <c r="C9" s="5">
        <v>8696</v>
      </c>
      <c r="D9" s="5">
        <v>6058</v>
      </c>
      <c r="E9" s="5">
        <v>7097</v>
      </c>
      <c r="F9" s="5">
        <v>8525</v>
      </c>
      <c r="G9" s="5">
        <v>6687</v>
      </c>
      <c r="H9" s="5">
        <v>9816</v>
      </c>
      <c r="I9" s="5">
        <v>9814</v>
      </c>
      <c r="J9" s="5">
        <v>5544</v>
      </c>
      <c r="K9" s="5">
        <v>5882</v>
      </c>
      <c r="L9" s="5">
        <v>8039</v>
      </c>
      <c r="M9" s="5">
        <v>5684</v>
      </c>
      <c r="N9" s="5">
        <f t="shared" si="0"/>
        <v>89392</v>
      </c>
    </row>
    <row r="10" spans="1:14" x14ac:dyDescent="0.3">
      <c r="A10" t="s">
        <v>59</v>
      </c>
      <c r="B10" s="5">
        <v>9215</v>
      </c>
      <c r="C10" s="5">
        <v>7174</v>
      </c>
      <c r="D10" s="5">
        <v>8891</v>
      </c>
      <c r="E10" s="5">
        <v>7670</v>
      </c>
      <c r="F10" s="5">
        <v>9451</v>
      </c>
      <c r="G10" s="5">
        <v>7288</v>
      </c>
      <c r="H10" s="5">
        <v>5357</v>
      </c>
      <c r="I10" s="5">
        <v>9858</v>
      </c>
      <c r="J10" s="5">
        <v>9792</v>
      </c>
      <c r="K10" s="5">
        <v>8711</v>
      </c>
      <c r="L10" s="5">
        <v>8980</v>
      </c>
      <c r="M10" s="5">
        <v>5778</v>
      </c>
      <c r="N10" s="5">
        <f t="shared" si="0"/>
        <v>98165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9">
        <f>SUM(N3:N10)</f>
        <v>731031</v>
      </c>
    </row>
  </sheetData>
  <mergeCells count="1">
    <mergeCell ref="A1:N1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2273-410C-4E1F-BCB9-9418A62310E6}">
  <dimension ref="A1:N12"/>
  <sheetViews>
    <sheetView topLeftCell="D1" workbookViewId="0">
      <selection activeCell="A12" sqref="A12:N12"/>
    </sheetView>
  </sheetViews>
  <sheetFormatPr defaultRowHeight="14.4" x14ac:dyDescent="0.3"/>
  <cols>
    <col min="1" max="1" width="11.5546875" customWidth="1"/>
    <col min="2" max="2" width="12.33203125" customWidth="1"/>
    <col min="3" max="3" width="16.33203125" customWidth="1"/>
    <col min="4" max="4" width="12.44140625" customWidth="1"/>
    <col min="5" max="5" width="10.6640625" bestFit="1" customWidth="1"/>
    <col min="6" max="6" width="14.44140625" customWidth="1"/>
    <col min="7" max="7" width="14.77734375" customWidth="1"/>
    <col min="8" max="8" width="18.44140625" customWidth="1"/>
    <col min="9" max="9" width="14.21875" customWidth="1"/>
    <col min="10" max="10" width="15.21875" customWidth="1"/>
    <col min="11" max="11" width="14.88671875" customWidth="1"/>
    <col min="12" max="12" width="14.5546875" customWidth="1"/>
    <col min="13" max="13" width="13.21875" customWidth="1"/>
    <col min="14" max="14" width="16.44140625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v>9349</v>
      </c>
      <c r="C3" s="5">
        <v>6134</v>
      </c>
      <c r="D3" s="5">
        <v>8763</v>
      </c>
      <c r="E3" s="5">
        <v>8355</v>
      </c>
      <c r="F3" s="5">
        <v>6682</v>
      </c>
      <c r="G3" s="5">
        <v>9355</v>
      </c>
      <c r="H3" s="5">
        <v>9607</v>
      </c>
      <c r="I3" s="5">
        <v>7465</v>
      </c>
      <c r="J3" s="5">
        <v>7805</v>
      </c>
      <c r="K3" s="5">
        <v>8174</v>
      </c>
      <c r="L3" s="5">
        <v>9803</v>
      </c>
      <c r="M3" s="5">
        <v>7693</v>
      </c>
      <c r="N3" s="5">
        <v>99185</v>
      </c>
    </row>
    <row r="4" spans="1:14" x14ac:dyDescent="0.3">
      <c r="A4" t="s">
        <v>53</v>
      </c>
      <c r="B4" s="5">
        <v>8024</v>
      </c>
      <c r="C4" s="5">
        <v>6942</v>
      </c>
      <c r="D4" s="5">
        <v>6268</v>
      </c>
      <c r="E4" s="5">
        <v>5875</v>
      </c>
      <c r="F4" s="5">
        <v>5902</v>
      </c>
      <c r="G4" s="5">
        <v>7859</v>
      </c>
      <c r="H4" s="5">
        <v>9892</v>
      </c>
      <c r="I4" s="5">
        <v>8654</v>
      </c>
      <c r="J4" s="5">
        <v>8022</v>
      </c>
      <c r="K4" s="5">
        <v>8431</v>
      </c>
      <c r="L4" s="5">
        <v>8544</v>
      </c>
      <c r="M4" s="5">
        <v>9592</v>
      </c>
      <c r="N4" s="5">
        <v>94005</v>
      </c>
    </row>
    <row r="5" spans="1:14" x14ac:dyDescent="0.3">
      <c r="A5" t="s">
        <v>54</v>
      </c>
      <c r="B5" s="5">
        <v>5351</v>
      </c>
      <c r="C5" s="5">
        <v>7798</v>
      </c>
      <c r="D5" s="5">
        <v>5147</v>
      </c>
      <c r="E5" s="5">
        <v>9168</v>
      </c>
      <c r="F5" s="5">
        <v>6893</v>
      </c>
      <c r="G5" s="5">
        <v>9124</v>
      </c>
      <c r="H5" s="5">
        <v>5653</v>
      </c>
      <c r="I5" s="5">
        <v>8040</v>
      </c>
      <c r="J5" s="5">
        <v>9816</v>
      </c>
      <c r="K5" s="5">
        <v>9921</v>
      </c>
      <c r="L5" s="5">
        <v>9541</v>
      </c>
      <c r="M5" s="5">
        <v>9980</v>
      </c>
      <c r="N5" s="5">
        <v>96432</v>
      </c>
    </row>
    <row r="6" spans="1:14" x14ac:dyDescent="0.3">
      <c r="A6" t="s">
        <v>55</v>
      </c>
      <c r="B6" s="5">
        <v>6024</v>
      </c>
      <c r="C6" s="5">
        <v>9978</v>
      </c>
      <c r="D6" s="5">
        <v>5225</v>
      </c>
      <c r="E6" s="5">
        <v>7820</v>
      </c>
      <c r="F6" s="5">
        <v>7337</v>
      </c>
      <c r="G6" s="5">
        <v>9767</v>
      </c>
      <c r="H6" s="5">
        <v>5494</v>
      </c>
      <c r="I6" s="5">
        <v>6431</v>
      </c>
      <c r="J6" s="5">
        <v>8542</v>
      </c>
      <c r="K6" s="5">
        <v>7064</v>
      </c>
      <c r="L6" s="5">
        <v>8563</v>
      </c>
      <c r="M6" s="5">
        <v>7769</v>
      </c>
      <c r="N6" s="5">
        <v>90014</v>
      </c>
    </row>
    <row r="7" spans="1:14" x14ac:dyDescent="0.3">
      <c r="A7" t="s">
        <v>56</v>
      </c>
      <c r="B7" s="5">
        <v>6188</v>
      </c>
      <c r="C7" s="5">
        <v>8504</v>
      </c>
      <c r="D7" s="5">
        <v>7320</v>
      </c>
      <c r="E7" s="5">
        <v>8009</v>
      </c>
      <c r="F7" s="5">
        <v>8774</v>
      </c>
      <c r="G7" s="5">
        <v>8107</v>
      </c>
      <c r="H7" s="5">
        <v>7281</v>
      </c>
      <c r="I7" s="5">
        <v>7904</v>
      </c>
      <c r="J7" s="5">
        <v>7079</v>
      </c>
      <c r="K7" s="5">
        <v>8406</v>
      </c>
      <c r="L7" s="5">
        <v>9083</v>
      </c>
      <c r="M7" s="5">
        <v>8307</v>
      </c>
      <c r="N7" s="5">
        <v>94962</v>
      </c>
    </row>
    <row r="8" spans="1:14" x14ac:dyDescent="0.3">
      <c r="A8" t="s">
        <v>57</v>
      </c>
      <c r="B8" s="5">
        <v>8297</v>
      </c>
      <c r="C8" s="5">
        <v>5959</v>
      </c>
      <c r="D8" s="5">
        <v>6308</v>
      </c>
      <c r="E8" s="5">
        <v>5875</v>
      </c>
      <c r="F8" s="5">
        <v>9144</v>
      </c>
      <c r="G8" s="5">
        <v>5655</v>
      </c>
      <c r="H8" s="5">
        <v>8162</v>
      </c>
      <c r="I8" s="5">
        <v>9960</v>
      </c>
      <c r="J8" s="5">
        <v>8253</v>
      </c>
      <c r="K8" s="5">
        <v>9664</v>
      </c>
      <c r="L8" s="5">
        <v>7860</v>
      </c>
      <c r="M8" s="5">
        <v>6828</v>
      </c>
      <c r="N8" s="5">
        <v>91965</v>
      </c>
    </row>
    <row r="9" spans="1:14" x14ac:dyDescent="0.3">
      <c r="A9" t="s">
        <v>58</v>
      </c>
      <c r="B9" s="5">
        <v>5852</v>
      </c>
      <c r="C9" s="5">
        <v>6560</v>
      </c>
      <c r="D9" s="5">
        <v>7852</v>
      </c>
      <c r="E9" s="5">
        <v>8791</v>
      </c>
      <c r="F9" s="5">
        <v>5966</v>
      </c>
      <c r="G9" s="5">
        <v>5490</v>
      </c>
      <c r="H9" s="5">
        <v>9316</v>
      </c>
      <c r="I9" s="5">
        <v>7915</v>
      </c>
      <c r="J9" s="5">
        <v>8651</v>
      </c>
      <c r="K9" s="5">
        <v>9142</v>
      </c>
      <c r="L9" s="5">
        <v>6272</v>
      </c>
      <c r="M9" s="5">
        <v>8702</v>
      </c>
      <c r="N9" s="5">
        <v>90509</v>
      </c>
    </row>
    <row r="10" spans="1:14" x14ac:dyDescent="0.3">
      <c r="A10" t="s">
        <v>59</v>
      </c>
      <c r="B10" s="5">
        <v>5043</v>
      </c>
      <c r="C10" s="5">
        <v>9350</v>
      </c>
      <c r="D10" s="5">
        <v>9991</v>
      </c>
      <c r="E10" s="5">
        <v>7267</v>
      </c>
      <c r="F10" s="5">
        <v>7359</v>
      </c>
      <c r="G10" s="5">
        <v>8726</v>
      </c>
      <c r="H10" s="5">
        <v>8214</v>
      </c>
      <c r="I10" s="5">
        <v>6927</v>
      </c>
      <c r="J10" s="5">
        <v>5444</v>
      </c>
      <c r="K10" s="5">
        <v>5376</v>
      </c>
      <c r="L10" s="5">
        <v>5428</v>
      </c>
      <c r="M10" s="5">
        <v>5112</v>
      </c>
      <c r="N10" s="5">
        <v>84237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8">
        <v>741309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37DB-D612-469F-BB1D-A3C75C55E601}">
  <dimension ref="A1:N12"/>
  <sheetViews>
    <sheetView topLeftCell="G1" workbookViewId="0">
      <selection activeCell="A12" sqref="A12:N12"/>
    </sheetView>
  </sheetViews>
  <sheetFormatPr defaultRowHeight="14.4" x14ac:dyDescent="0.3"/>
  <cols>
    <col min="2" max="2" width="10.6640625" bestFit="1" customWidth="1"/>
    <col min="3" max="3" width="16.5546875" customWidth="1"/>
    <col min="4" max="4" width="15.88671875" customWidth="1"/>
    <col min="5" max="5" width="20.44140625" customWidth="1"/>
    <col min="6" max="6" width="16.33203125" customWidth="1"/>
    <col min="7" max="7" width="17.109375" customWidth="1"/>
    <col min="8" max="8" width="23.44140625" customWidth="1"/>
    <col min="9" max="9" width="16" customWidth="1"/>
    <col min="10" max="10" width="13.109375" customWidth="1"/>
    <col min="11" max="11" width="16.77734375" customWidth="1"/>
    <col min="12" max="12" width="23.44140625" customWidth="1"/>
    <col min="13" max="13" width="13.33203125" customWidth="1"/>
    <col min="14" max="14" width="17.33203125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v>7333</v>
      </c>
      <c r="C3" s="5">
        <v>7897</v>
      </c>
      <c r="D3" s="5">
        <v>6722</v>
      </c>
      <c r="E3" s="5">
        <v>6116</v>
      </c>
      <c r="F3" s="5">
        <v>6254</v>
      </c>
      <c r="G3" s="5">
        <v>5054</v>
      </c>
      <c r="H3" s="5">
        <v>6014</v>
      </c>
      <c r="I3" s="5">
        <v>5913</v>
      </c>
      <c r="J3" s="5">
        <v>5786</v>
      </c>
      <c r="K3" s="5">
        <v>6577</v>
      </c>
      <c r="L3" s="5">
        <v>7090</v>
      </c>
      <c r="M3" s="5">
        <v>7781</v>
      </c>
      <c r="N3" s="5">
        <v>78537</v>
      </c>
    </row>
    <row r="4" spans="1:14" x14ac:dyDescent="0.3">
      <c r="A4" t="s">
        <v>53</v>
      </c>
      <c r="B4" s="5">
        <v>8625</v>
      </c>
      <c r="C4" s="5">
        <v>6646</v>
      </c>
      <c r="D4" s="5">
        <v>8067</v>
      </c>
      <c r="E4" s="5">
        <v>5056</v>
      </c>
      <c r="F4" s="5">
        <v>9026</v>
      </c>
      <c r="G4" s="5">
        <v>9601</v>
      </c>
      <c r="H4" s="5">
        <v>8159</v>
      </c>
      <c r="I4" s="5">
        <v>8581</v>
      </c>
      <c r="J4" s="5">
        <v>7890</v>
      </c>
      <c r="K4" s="5">
        <v>7915</v>
      </c>
      <c r="L4" s="5">
        <v>7858</v>
      </c>
      <c r="M4" s="5">
        <v>6444</v>
      </c>
      <c r="N4" s="5">
        <v>93868</v>
      </c>
    </row>
    <row r="5" spans="1:14" x14ac:dyDescent="0.3">
      <c r="A5" t="s">
        <v>54</v>
      </c>
      <c r="B5" s="5">
        <v>8856</v>
      </c>
      <c r="C5" s="5">
        <v>7206</v>
      </c>
      <c r="D5" s="5">
        <v>6849</v>
      </c>
      <c r="E5" s="5">
        <v>9337</v>
      </c>
      <c r="F5" s="5">
        <v>5423</v>
      </c>
      <c r="G5" s="5">
        <v>5331</v>
      </c>
      <c r="H5" s="5">
        <v>8655</v>
      </c>
      <c r="I5" s="5">
        <v>5805</v>
      </c>
      <c r="J5" s="5">
        <v>5194</v>
      </c>
      <c r="K5" s="5">
        <v>7354</v>
      </c>
      <c r="L5" s="5">
        <v>5877</v>
      </c>
      <c r="M5" s="5">
        <v>9226</v>
      </c>
      <c r="N5" s="5">
        <v>85113</v>
      </c>
    </row>
    <row r="6" spans="1:14" x14ac:dyDescent="0.3">
      <c r="A6" t="s">
        <v>55</v>
      </c>
      <c r="B6" s="5">
        <v>8333</v>
      </c>
      <c r="C6" s="5">
        <v>6323</v>
      </c>
      <c r="D6" s="5">
        <v>6395</v>
      </c>
      <c r="E6" s="5">
        <v>8901</v>
      </c>
      <c r="F6" s="5">
        <v>5065</v>
      </c>
      <c r="G6" s="5">
        <v>9585</v>
      </c>
      <c r="H6" s="5">
        <v>7877</v>
      </c>
      <c r="I6" s="5">
        <v>8151</v>
      </c>
      <c r="J6" s="5">
        <v>8494</v>
      </c>
      <c r="K6" s="5">
        <v>9812</v>
      </c>
      <c r="L6" s="5">
        <v>9792</v>
      </c>
      <c r="M6" s="5">
        <v>8106</v>
      </c>
      <c r="N6" s="5">
        <v>96834</v>
      </c>
    </row>
    <row r="7" spans="1:14" x14ac:dyDescent="0.3">
      <c r="A7" t="s">
        <v>56</v>
      </c>
      <c r="B7" s="5">
        <v>8118</v>
      </c>
      <c r="C7" s="5">
        <v>8992</v>
      </c>
      <c r="D7" s="5">
        <v>9524</v>
      </c>
      <c r="E7" s="5">
        <v>5955</v>
      </c>
      <c r="F7" s="5">
        <v>8290</v>
      </c>
      <c r="G7" s="5">
        <v>7994</v>
      </c>
      <c r="H7" s="5">
        <v>8187</v>
      </c>
      <c r="I7" s="5">
        <v>9087</v>
      </c>
      <c r="J7" s="5">
        <v>5981</v>
      </c>
      <c r="K7" s="5">
        <v>7927</v>
      </c>
      <c r="L7" s="5">
        <v>9691</v>
      </c>
      <c r="M7" s="5">
        <v>5929</v>
      </c>
      <c r="N7" s="5">
        <v>95675</v>
      </c>
    </row>
    <row r="8" spans="1:14" x14ac:dyDescent="0.3">
      <c r="A8" t="s">
        <v>57</v>
      </c>
      <c r="B8" s="5">
        <v>8741</v>
      </c>
      <c r="C8" s="5">
        <v>9540</v>
      </c>
      <c r="D8" s="5">
        <v>7839</v>
      </c>
      <c r="E8" s="5">
        <v>9116</v>
      </c>
      <c r="F8" s="5">
        <v>9002</v>
      </c>
      <c r="G8" s="5">
        <v>7555</v>
      </c>
      <c r="H8" s="5">
        <v>5123</v>
      </c>
      <c r="I8" s="5">
        <v>5982</v>
      </c>
      <c r="J8" s="5">
        <v>6471</v>
      </c>
      <c r="K8" s="5">
        <v>9520</v>
      </c>
      <c r="L8" s="5">
        <v>8766</v>
      </c>
      <c r="M8" s="5">
        <v>8754</v>
      </c>
      <c r="N8" s="5">
        <v>96409</v>
      </c>
    </row>
    <row r="9" spans="1:14" x14ac:dyDescent="0.3">
      <c r="A9" t="s">
        <v>58</v>
      </c>
      <c r="B9" s="5">
        <v>8318</v>
      </c>
      <c r="C9" s="5">
        <v>7702</v>
      </c>
      <c r="D9" s="5">
        <v>5015</v>
      </c>
      <c r="E9" s="5">
        <v>5547</v>
      </c>
      <c r="F9" s="5">
        <v>5005</v>
      </c>
      <c r="G9" s="5">
        <v>6678</v>
      </c>
      <c r="H9" s="5">
        <v>7164</v>
      </c>
      <c r="I9" s="5">
        <v>9094</v>
      </c>
      <c r="J9" s="5">
        <v>9761</v>
      </c>
      <c r="K9" s="5">
        <v>5662</v>
      </c>
      <c r="L9" s="5">
        <v>8537</v>
      </c>
      <c r="M9" s="5">
        <v>5967</v>
      </c>
      <c r="N9" s="5">
        <v>84450</v>
      </c>
    </row>
    <row r="10" spans="1:14" x14ac:dyDescent="0.3">
      <c r="A10" t="s">
        <v>59</v>
      </c>
      <c r="B10" s="5">
        <v>8834</v>
      </c>
      <c r="C10" s="5">
        <v>9901</v>
      </c>
      <c r="D10" s="5">
        <v>9629</v>
      </c>
      <c r="E10" s="5">
        <v>9345</v>
      </c>
      <c r="F10" s="5">
        <v>7597</v>
      </c>
      <c r="G10" s="5">
        <v>9989</v>
      </c>
      <c r="H10" s="5">
        <v>6555</v>
      </c>
      <c r="I10" s="5">
        <v>6413</v>
      </c>
      <c r="J10" s="5">
        <v>9131</v>
      </c>
      <c r="K10" s="5">
        <v>5250</v>
      </c>
      <c r="L10" s="5">
        <v>6039</v>
      </c>
      <c r="M10" s="5">
        <v>7728</v>
      </c>
      <c r="N10" s="5">
        <v>96411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7">
        <f>SUM(N3:N10)</f>
        <v>727297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A195-EBFF-4B83-A335-B7C3CF8257A6}">
  <dimension ref="A1:N12"/>
  <sheetViews>
    <sheetView topLeftCell="E1" workbookViewId="0">
      <selection activeCell="C16" sqref="C16"/>
    </sheetView>
  </sheetViews>
  <sheetFormatPr defaultRowHeight="14.4" x14ac:dyDescent="0.3"/>
  <cols>
    <col min="2" max="2" width="17.21875" customWidth="1"/>
    <col min="3" max="3" width="13.33203125" customWidth="1"/>
    <col min="4" max="4" width="18" customWidth="1"/>
    <col min="5" max="5" width="14.33203125" customWidth="1"/>
    <col min="6" max="6" width="18" customWidth="1"/>
    <col min="7" max="7" width="15.88671875" customWidth="1"/>
    <col min="8" max="8" width="19" customWidth="1"/>
    <col min="9" max="9" width="13" customWidth="1"/>
    <col min="10" max="10" width="17" customWidth="1"/>
    <col min="11" max="11" width="13" customWidth="1"/>
    <col min="12" max="12" width="15.5546875" customWidth="1"/>
    <col min="13" max="13" width="13.88671875" customWidth="1"/>
    <col min="14" max="14" width="17.21875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f ca="1">SUM(RANDBETWEEN(5000,10000))</f>
        <v>6277</v>
      </c>
      <c r="C3" s="5">
        <f t="shared" ref="C3:M3" ca="1" si="0">SUM(RANDBETWEEN(5000,10000))</f>
        <v>5088</v>
      </c>
      <c r="D3" s="5">
        <f t="shared" ca="1" si="0"/>
        <v>7613</v>
      </c>
      <c r="E3" s="5">
        <f t="shared" ca="1" si="0"/>
        <v>8130</v>
      </c>
      <c r="F3" s="5">
        <f t="shared" ca="1" si="0"/>
        <v>8353</v>
      </c>
      <c r="G3" s="5">
        <f t="shared" ca="1" si="0"/>
        <v>9292</v>
      </c>
      <c r="H3" s="5">
        <f t="shared" ca="1" si="0"/>
        <v>8321</v>
      </c>
      <c r="I3" s="5">
        <f t="shared" ca="1" si="0"/>
        <v>5193</v>
      </c>
      <c r="J3" s="5">
        <f t="shared" ca="1" si="0"/>
        <v>9891</v>
      </c>
      <c r="K3" s="5">
        <f t="shared" ca="1" si="0"/>
        <v>8356</v>
      </c>
      <c r="L3" s="5">
        <f t="shared" ca="1" si="0"/>
        <v>5466</v>
      </c>
      <c r="M3" s="5">
        <f t="shared" ca="1" si="0"/>
        <v>8316</v>
      </c>
      <c r="N3" s="5">
        <f ca="1">SUM(B3:M3)</f>
        <v>90296</v>
      </c>
    </row>
    <row r="4" spans="1:14" x14ac:dyDescent="0.3">
      <c r="A4" t="s">
        <v>53</v>
      </c>
      <c r="B4" s="5">
        <f t="shared" ref="B4:M10" ca="1" si="1">SUM(RANDBETWEEN(5000,10000))</f>
        <v>5425</v>
      </c>
      <c r="C4" s="5">
        <f t="shared" ca="1" si="1"/>
        <v>6042</v>
      </c>
      <c r="D4" s="5">
        <f t="shared" ca="1" si="1"/>
        <v>9718</v>
      </c>
      <c r="E4" s="5">
        <f t="shared" ca="1" si="1"/>
        <v>9317</v>
      </c>
      <c r="F4" s="5">
        <f t="shared" ca="1" si="1"/>
        <v>5250</v>
      </c>
      <c r="G4" s="5">
        <f t="shared" ca="1" si="1"/>
        <v>5548</v>
      </c>
      <c r="H4" s="5">
        <f t="shared" ca="1" si="1"/>
        <v>7908</v>
      </c>
      <c r="I4" s="5">
        <f t="shared" ca="1" si="1"/>
        <v>9617</v>
      </c>
      <c r="J4" s="5">
        <f t="shared" ca="1" si="1"/>
        <v>8989</v>
      </c>
      <c r="K4" s="5">
        <f t="shared" ca="1" si="1"/>
        <v>7518</v>
      </c>
      <c r="L4" s="5">
        <f t="shared" ca="1" si="1"/>
        <v>5104</v>
      </c>
      <c r="M4" s="5">
        <f t="shared" ca="1" si="1"/>
        <v>7574</v>
      </c>
      <c r="N4" s="5">
        <f t="shared" ref="N4:N10" ca="1" si="2">SUM(B4:M4)</f>
        <v>88010</v>
      </c>
    </row>
    <row r="5" spans="1:14" x14ac:dyDescent="0.3">
      <c r="A5" t="s">
        <v>54</v>
      </c>
      <c r="B5" s="5">
        <f t="shared" ca="1" si="1"/>
        <v>7558</v>
      </c>
      <c r="C5" s="5">
        <f t="shared" ca="1" si="1"/>
        <v>9528</v>
      </c>
      <c r="D5" s="5">
        <f t="shared" ca="1" si="1"/>
        <v>8550</v>
      </c>
      <c r="E5" s="5">
        <f t="shared" ca="1" si="1"/>
        <v>7262</v>
      </c>
      <c r="F5" s="5">
        <f t="shared" ca="1" si="1"/>
        <v>5604</v>
      </c>
      <c r="G5" s="5">
        <f t="shared" ca="1" si="1"/>
        <v>6205</v>
      </c>
      <c r="H5" s="5">
        <f t="shared" ca="1" si="1"/>
        <v>5225</v>
      </c>
      <c r="I5" s="5">
        <f t="shared" ca="1" si="1"/>
        <v>6668</v>
      </c>
      <c r="J5" s="5">
        <f t="shared" ca="1" si="1"/>
        <v>5093</v>
      </c>
      <c r="K5" s="5">
        <f t="shared" ca="1" si="1"/>
        <v>9606</v>
      </c>
      <c r="L5" s="5">
        <f t="shared" ca="1" si="1"/>
        <v>6197</v>
      </c>
      <c r="M5" s="5">
        <f t="shared" ca="1" si="1"/>
        <v>8076</v>
      </c>
      <c r="N5" s="5">
        <f t="shared" ca="1" si="2"/>
        <v>85572</v>
      </c>
    </row>
    <row r="6" spans="1:14" x14ac:dyDescent="0.3">
      <c r="A6" t="s">
        <v>55</v>
      </c>
      <c r="B6" s="5">
        <f t="shared" ca="1" si="1"/>
        <v>6452</v>
      </c>
      <c r="C6" s="5">
        <f t="shared" ca="1" si="1"/>
        <v>6681</v>
      </c>
      <c r="D6" s="5">
        <f t="shared" ca="1" si="1"/>
        <v>9929</v>
      </c>
      <c r="E6" s="5">
        <f t="shared" ca="1" si="1"/>
        <v>5686</v>
      </c>
      <c r="F6" s="5">
        <f t="shared" ca="1" si="1"/>
        <v>6391</v>
      </c>
      <c r="G6" s="5">
        <f t="shared" ca="1" si="1"/>
        <v>5829</v>
      </c>
      <c r="H6" s="5">
        <f t="shared" ca="1" si="1"/>
        <v>8259</v>
      </c>
      <c r="I6" s="5">
        <f t="shared" ca="1" si="1"/>
        <v>8724</v>
      </c>
      <c r="J6" s="5">
        <f t="shared" ca="1" si="1"/>
        <v>8815</v>
      </c>
      <c r="K6" s="5">
        <f t="shared" ca="1" si="1"/>
        <v>8992</v>
      </c>
      <c r="L6" s="5">
        <f t="shared" ca="1" si="1"/>
        <v>7947</v>
      </c>
      <c r="M6" s="5">
        <f t="shared" ca="1" si="1"/>
        <v>8156</v>
      </c>
      <c r="N6" s="5">
        <f t="shared" ca="1" si="2"/>
        <v>91861</v>
      </c>
    </row>
    <row r="7" spans="1:14" x14ac:dyDescent="0.3">
      <c r="A7" t="s">
        <v>56</v>
      </c>
      <c r="B7" s="5">
        <f t="shared" ca="1" si="1"/>
        <v>8641</v>
      </c>
      <c r="C7" s="5">
        <f t="shared" ca="1" si="1"/>
        <v>5214</v>
      </c>
      <c r="D7" s="5">
        <f t="shared" ca="1" si="1"/>
        <v>9677</v>
      </c>
      <c r="E7" s="5">
        <f t="shared" ca="1" si="1"/>
        <v>6470</v>
      </c>
      <c r="F7" s="5">
        <f t="shared" ca="1" si="1"/>
        <v>8775</v>
      </c>
      <c r="G7" s="5">
        <f t="shared" ca="1" si="1"/>
        <v>9429</v>
      </c>
      <c r="H7" s="5">
        <f t="shared" ca="1" si="1"/>
        <v>8986</v>
      </c>
      <c r="I7" s="5">
        <f t="shared" ca="1" si="1"/>
        <v>5230</v>
      </c>
      <c r="J7" s="5">
        <f t="shared" ca="1" si="1"/>
        <v>7299</v>
      </c>
      <c r="K7" s="5">
        <f t="shared" ca="1" si="1"/>
        <v>9136</v>
      </c>
      <c r="L7" s="5">
        <f t="shared" ca="1" si="1"/>
        <v>9323</v>
      </c>
      <c r="M7" s="5">
        <f t="shared" ca="1" si="1"/>
        <v>7747</v>
      </c>
      <c r="N7" s="5">
        <f t="shared" ca="1" si="2"/>
        <v>95927</v>
      </c>
    </row>
    <row r="8" spans="1:14" x14ac:dyDescent="0.3">
      <c r="A8" t="s">
        <v>57</v>
      </c>
      <c r="B8" s="5">
        <f t="shared" ca="1" si="1"/>
        <v>7564</v>
      </c>
      <c r="C8" s="5">
        <f t="shared" ca="1" si="1"/>
        <v>7119</v>
      </c>
      <c r="D8" s="5">
        <f t="shared" ca="1" si="1"/>
        <v>5946</v>
      </c>
      <c r="E8" s="5">
        <f t="shared" ca="1" si="1"/>
        <v>6653</v>
      </c>
      <c r="F8" s="5">
        <f t="shared" ca="1" si="1"/>
        <v>9734</v>
      </c>
      <c r="G8" s="5">
        <f t="shared" ca="1" si="1"/>
        <v>5720</v>
      </c>
      <c r="H8" s="5">
        <f t="shared" ca="1" si="1"/>
        <v>9516</v>
      </c>
      <c r="I8" s="5">
        <f t="shared" ca="1" si="1"/>
        <v>8140</v>
      </c>
      <c r="J8" s="5">
        <f t="shared" ca="1" si="1"/>
        <v>6424</v>
      </c>
      <c r="K8" s="5">
        <f t="shared" ca="1" si="1"/>
        <v>9051</v>
      </c>
      <c r="L8" s="5">
        <f t="shared" ca="1" si="1"/>
        <v>9638</v>
      </c>
      <c r="M8" s="5">
        <f t="shared" ca="1" si="1"/>
        <v>9679</v>
      </c>
      <c r="N8" s="5">
        <f t="shared" ca="1" si="2"/>
        <v>95184</v>
      </c>
    </row>
    <row r="9" spans="1:14" x14ac:dyDescent="0.3">
      <c r="A9" t="s">
        <v>58</v>
      </c>
      <c r="B9" s="5">
        <f t="shared" ca="1" si="1"/>
        <v>6192</v>
      </c>
      <c r="C9" s="5">
        <f t="shared" ca="1" si="1"/>
        <v>6313</v>
      </c>
      <c r="D9" s="5">
        <f t="shared" ca="1" si="1"/>
        <v>7981</v>
      </c>
      <c r="E9" s="5">
        <f t="shared" ca="1" si="1"/>
        <v>5696</v>
      </c>
      <c r="F9" s="5">
        <f t="shared" ca="1" si="1"/>
        <v>8741</v>
      </c>
      <c r="G9" s="5">
        <f t="shared" ca="1" si="1"/>
        <v>5220</v>
      </c>
      <c r="H9" s="5">
        <f t="shared" ca="1" si="1"/>
        <v>8719</v>
      </c>
      <c r="I9" s="5">
        <f t="shared" ca="1" si="1"/>
        <v>5764</v>
      </c>
      <c r="J9" s="5">
        <f t="shared" ca="1" si="1"/>
        <v>9490</v>
      </c>
      <c r="K9" s="5">
        <f t="shared" ca="1" si="1"/>
        <v>5767</v>
      </c>
      <c r="L9" s="5">
        <f t="shared" ca="1" si="1"/>
        <v>8190</v>
      </c>
      <c r="M9" s="5">
        <f t="shared" ca="1" si="1"/>
        <v>8446</v>
      </c>
      <c r="N9" s="5">
        <f t="shared" ca="1" si="2"/>
        <v>86519</v>
      </c>
    </row>
    <row r="10" spans="1:14" x14ac:dyDescent="0.3">
      <c r="A10" t="s">
        <v>59</v>
      </c>
      <c r="B10" s="5">
        <f t="shared" ca="1" si="1"/>
        <v>7268</v>
      </c>
      <c r="C10" s="5">
        <f t="shared" ca="1" si="1"/>
        <v>5676</v>
      </c>
      <c r="D10" s="5">
        <f t="shared" ca="1" si="1"/>
        <v>5398</v>
      </c>
      <c r="E10" s="5">
        <f t="shared" ca="1" si="1"/>
        <v>7635</v>
      </c>
      <c r="F10" s="5">
        <f t="shared" ca="1" si="1"/>
        <v>8810</v>
      </c>
      <c r="G10" s="5">
        <f t="shared" ca="1" si="1"/>
        <v>9906</v>
      </c>
      <c r="H10" s="5">
        <f t="shared" ca="1" si="1"/>
        <v>7759</v>
      </c>
      <c r="I10" s="5">
        <f t="shared" ca="1" si="1"/>
        <v>8497</v>
      </c>
      <c r="J10" s="5">
        <f t="shared" ca="1" si="1"/>
        <v>7252</v>
      </c>
      <c r="K10" s="5">
        <f t="shared" ca="1" si="1"/>
        <v>9931</v>
      </c>
      <c r="L10" s="5">
        <f t="shared" ca="1" si="1"/>
        <v>5220</v>
      </c>
      <c r="M10" s="5">
        <f t="shared" ca="1" si="1"/>
        <v>9297</v>
      </c>
      <c r="N10" s="5">
        <f t="shared" ca="1" si="2"/>
        <v>92649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6">
        <f ca="1">SUM(N3:N10)</f>
        <v>726018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Relative cell reference</vt:lpstr>
      <vt:lpstr>Absolute cell ref</vt:lpstr>
      <vt:lpstr>Mixed cell ref</vt:lpstr>
      <vt:lpstr>3d cell ref</vt:lpstr>
      <vt:lpstr>North Branch</vt:lpstr>
      <vt:lpstr>South Branch</vt:lpstr>
      <vt:lpstr>East Branch</vt:lpstr>
      <vt:lpstr>West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2026-10-14T13:21:01Z</dcterms:created>
  <dcterms:modified xsi:type="dcterms:W3CDTF">2026-10-14T15:16:05Z</dcterms:modified>
</cp:coreProperties>
</file>