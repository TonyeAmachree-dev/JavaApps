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318ea739a5681/Desktop/JavaApps/Excel Files/"/>
    </mc:Choice>
  </mc:AlternateContent>
  <xr:revisionPtr revIDLastSave="240" documentId="8_{4F2818B8-BE40-4D3A-BB72-155A9209CB63}" xr6:coauthVersionLast="47" xr6:coauthVersionMax="47" xr10:uidLastSave="{395AF9E7-4D0F-4EB0-9795-934D9843C55C}"/>
  <bookViews>
    <workbookView xWindow="-108" yWindow="-108" windowWidth="23256" windowHeight="13176" xr2:uid="{F4D2F806-F586-405E-A4C1-D481A49628C6}"/>
  </bookViews>
  <sheets>
    <sheet name="Sheet1" sheetId="1" r:id="rId1"/>
  </sheets>
  <definedNames>
    <definedName name="Category">Sheet1!$G$2:$G$13</definedName>
    <definedName name="Country">Sheet1!$E$2:$E$13</definedName>
    <definedName name="Gender">Sheet1!$F$2:$F$13</definedName>
    <definedName name="Total">Sheet1!$K$2:$K$13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9" i="1" l="1"/>
  <c r="I60" i="1"/>
  <c r="I61" i="1"/>
  <c r="H59" i="1"/>
  <c r="H60" i="1"/>
  <c r="H61" i="1"/>
  <c r="Q47" i="1"/>
  <c r="Q48" i="1"/>
  <c r="Q49" i="1"/>
  <c r="Q50" i="1"/>
  <c r="Q51" i="1"/>
  <c r="Q46" i="1"/>
  <c r="P47" i="1"/>
  <c r="P48" i="1"/>
  <c r="P49" i="1"/>
  <c r="P50" i="1"/>
  <c r="P51" i="1"/>
  <c r="P46" i="1"/>
  <c r="O47" i="1"/>
  <c r="O48" i="1"/>
  <c r="O49" i="1"/>
  <c r="O50" i="1"/>
  <c r="O51" i="1"/>
  <c r="O46" i="1"/>
  <c r="M47" i="1"/>
  <c r="M48" i="1"/>
  <c r="M49" i="1"/>
  <c r="M50" i="1"/>
  <c r="M51" i="1"/>
  <c r="M46" i="1"/>
  <c r="L47" i="1"/>
  <c r="L48" i="1"/>
  <c r="L49" i="1"/>
  <c r="L50" i="1"/>
  <c r="L51" i="1"/>
  <c r="L46" i="1"/>
  <c r="K47" i="1"/>
  <c r="K48" i="1"/>
  <c r="K49" i="1"/>
  <c r="K50" i="1"/>
  <c r="K51" i="1"/>
  <c r="K46" i="1"/>
  <c r="J47" i="1"/>
  <c r="J48" i="1"/>
  <c r="J49" i="1"/>
  <c r="J50" i="1"/>
  <c r="J51" i="1"/>
  <c r="J46" i="1"/>
  <c r="P33" i="1"/>
  <c r="P34" i="1"/>
  <c r="P35" i="1"/>
  <c r="P36" i="1"/>
  <c r="P37" i="1"/>
  <c r="P32" i="1"/>
  <c r="O33" i="1"/>
  <c r="O34" i="1"/>
  <c r="O35" i="1"/>
  <c r="O36" i="1"/>
  <c r="O37" i="1"/>
  <c r="O32" i="1"/>
  <c r="N33" i="1"/>
  <c r="N34" i="1"/>
  <c r="N35" i="1"/>
  <c r="N36" i="1"/>
  <c r="N37" i="1"/>
  <c r="N32" i="1"/>
  <c r="M33" i="1"/>
  <c r="M34" i="1"/>
  <c r="M35" i="1"/>
  <c r="M36" i="1"/>
  <c r="M37" i="1"/>
  <c r="M32" i="1"/>
  <c r="E32" i="1"/>
  <c r="K32" i="1" s="1"/>
  <c r="L32" i="1" s="1"/>
  <c r="C40" i="1"/>
  <c r="C39" i="1"/>
  <c r="C38" i="1"/>
  <c r="C37" i="1"/>
  <c r="C36" i="1"/>
  <c r="C35" i="1"/>
  <c r="C34" i="1"/>
  <c r="C33" i="1"/>
  <c r="C32" i="1"/>
  <c r="E24" i="1"/>
  <c r="E23" i="1"/>
  <c r="E22" i="1"/>
  <c r="E21" i="1"/>
  <c r="L22" i="1"/>
  <c r="L16" i="1"/>
  <c r="K3" i="1"/>
  <c r="E16" i="1" s="1"/>
  <c r="K4" i="1"/>
  <c r="K5" i="1"/>
  <c r="K6" i="1"/>
  <c r="E19" i="1" s="1"/>
  <c r="K7" i="1"/>
  <c r="K8" i="1"/>
  <c r="K9" i="1"/>
  <c r="K10" i="1"/>
  <c r="K11" i="1"/>
  <c r="K12" i="1"/>
  <c r="K13" i="1"/>
  <c r="E18" i="1" s="1"/>
  <c r="K2" i="1"/>
  <c r="E60" i="1" l="1"/>
  <c r="E61" i="1"/>
  <c r="E56" i="1"/>
  <c r="E57" i="1"/>
  <c r="E58" i="1"/>
  <c r="E59" i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K37" i="1"/>
  <c r="L37" i="1" s="1"/>
  <c r="K36" i="1"/>
  <c r="L36" i="1" s="1"/>
  <c r="K35" i="1"/>
  <c r="L35" i="1" s="1"/>
  <c r="K34" i="1"/>
  <c r="L34" i="1" s="1"/>
  <c r="K33" i="1"/>
  <c r="L33" i="1" s="1"/>
  <c r="E17" i="1"/>
  <c r="I56" i="1" l="1"/>
  <c r="J59" i="1"/>
  <c r="F58" i="1"/>
  <c r="J58" i="1"/>
  <c r="F57" i="1"/>
  <c r="J57" i="1"/>
  <c r="I58" i="1"/>
  <c r="J61" i="1"/>
  <c r="I57" i="1"/>
  <c r="J60" i="1"/>
  <c r="F56" i="1"/>
  <c r="J56" i="1"/>
  <c r="H56" i="1"/>
  <c r="F61" i="1"/>
  <c r="H58" i="1"/>
  <c r="F60" i="1"/>
  <c r="H57" i="1"/>
  <c r="F59" i="1"/>
</calcChain>
</file>

<file path=xl/sharedStrings.xml><?xml version="1.0" encoding="utf-8"?>
<sst xmlns="http://schemas.openxmlformats.org/spreadsheetml/2006/main" count="140" uniqueCount="95">
  <si>
    <t>Produuct</t>
  </si>
  <si>
    <t>Order Date</t>
  </si>
  <si>
    <t>Country</t>
  </si>
  <si>
    <t>Gender</t>
  </si>
  <si>
    <t>Category</t>
  </si>
  <si>
    <t>Discount</t>
  </si>
  <si>
    <t>Maggi</t>
  </si>
  <si>
    <t>Curry</t>
  </si>
  <si>
    <t>Meat</t>
  </si>
  <si>
    <t>Butter</t>
  </si>
  <si>
    <t>Ice Cream</t>
  </si>
  <si>
    <t>Milo</t>
  </si>
  <si>
    <t>Milk</t>
  </si>
  <si>
    <t>Golden Morn</t>
  </si>
  <si>
    <t>Fanta</t>
  </si>
  <si>
    <t>Sugar</t>
  </si>
  <si>
    <t>Rice</t>
  </si>
  <si>
    <t>Beans</t>
  </si>
  <si>
    <t>Nigeria</t>
  </si>
  <si>
    <t>USA</t>
  </si>
  <si>
    <t>France</t>
  </si>
  <si>
    <t>Canada</t>
  </si>
  <si>
    <t>Ghana</t>
  </si>
  <si>
    <t>Male</t>
  </si>
  <si>
    <t xml:space="preserve">Female </t>
  </si>
  <si>
    <t>Seasoning</t>
  </si>
  <si>
    <t>Beef</t>
  </si>
  <si>
    <t>By-Product</t>
  </si>
  <si>
    <t>Beverage</t>
  </si>
  <si>
    <t>Cereal</t>
  </si>
  <si>
    <t>Soda</t>
  </si>
  <si>
    <t>Sweetening</t>
  </si>
  <si>
    <t>Grain</t>
  </si>
  <si>
    <t xml:space="preserve">Unit Price </t>
  </si>
  <si>
    <t>Total</t>
  </si>
  <si>
    <t>Quantity</t>
  </si>
  <si>
    <t>Sales Analysis</t>
  </si>
  <si>
    <t>Total Sales made in USA</t>
  </si>
  <si>
    <t>Total sales made in France</t>
  </si>
  <si>
    <t>Total sales made in Canada</t>
  </si>
  <si>
    <t>Total sales made in Ghana</t>
  </si>
  <si>
    <t>Sales Analysis for Male and Female</t>
  </si>
  <si>
    <t>Total Sales made for Male</t>
  </si>
  <si>
    <t>Total Sales made for Female</t>
  </si>
  <si>
    <t>Average Sales</t>
  </si>
  <si>
    <t xml:space="preserve">Highest sales </t>
  </si>
  <si>
    <t xml:space="preserve">Lowest sales </t>
  </si>
  <si>
    <t>Count of product</t>
  </si>
  <si>
    <t xml:space="preserve">count of seasonings </t>
  </si>
  <si>
    <t xml:space="preserve">count of Beef </t>
  </si>
  <si>
    <t>count of by-product</t>
  </si>
  <si>
    <t xml:space="preserve">count of beverage </t>
  </si>
  <si>
    <t>count of cereal</t>
  </si>
  <si>
    <t>count of soda</t>
  </si>
  <si>
    <t>count of sweetening</t>
  </si>
  <si>
    <t>count of grain</t>
  </si>
  <si>
    <t>Count of category</t>
  </si>
  <si>
    <t>Date Function</t>
  </si>
  <si>
    <t xml:space="preserve">Employee Name </t>
  </si>
  <si>
    <t>Date of Birth</t>
  </si>
  <si>
    <t>Age</t>
  </si>
  <si>
    <t>Andy</t>
  </si>
  <si>
    <t>Young</t>
  </si>
  <si>
    <t>Ray</t>
  </si>
  <si>
    <t>James</t>
  </si>
  <si>
    <t>Sandra</t>
  </si>
  <si>
    <t>Williams</t>
  </si>
  <si>
    <t>Retirement</t>
  </si>
  <si>
    <t>Year</t>
  </si>
  <si>
    <t>Month</t>
  </si>
  <si>
    <t>Day</t>
  </si>
  <si>
    <t>Date</t>
  </si>
  <si>
    <t>Text Functions</t>
  </si>
  <si>
    <t>Proper</t>
  </si>
  <si>
    <t>Lower</t>
  </si>
  <si>
    <t>Upper</t>
  </si>
  <si>
    <t>Length</t>
  </si>
  <si>
    <t>Concat</t>
  </si>
  <si>
    <t>Last Name</t>
  </si>
  <si>
    <t xml:space="preserve">Martins </t>
  </si>
  <si>
    <t>Henry</t>
  </si>
  <si>
    <t>Daniel</t>
  </si>
  <si>
    <t>Frank</t>
  </si>
  <si>
    <t xml:space="preserve">John </t>
  </si>
  <si>
    <t xml:space="preserve">Lucky </t>
  </si>
  <si>
    <t>Left</t>
  </si>
  <si>
    <t>Right</t>
  </si>
  <si>
    <t>Logical Functions</t>
  </si>
  <si>
    <t>Qualifications</t>
  </si>
  <si>
    <t>Master</t>
  </si>
  <si>
    <t>Diploma</t>
  </si>
  <si>
    <t>Bsc.</t>
  </si>
  <si>
    <t>Bonus</t>
  </si>
  <si>
    <t>Bonus(EITHER)</t>
  </si>
  <si>
    <t>Bonus(NEITHER)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</si>
</sst>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_);_([$$-409]* \(#,##0\);_([$$-409]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0" xfId="1" applyNumberFormat="1" applyFont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5" xfId="2" applyFont="1" applyBorder="1" applyAlignment="1">
      <alignment horizontal="center"/>
    </xf>
    <xf numFmtId="44" fontId="0" fillId="0" borderId="6" xfId="2" applyFont="1" applyBorder="1" applyAlignment="1">
      <alignment horizontal="center"/>
    </xf>
    <xf numFmtId="44" fontId="0" fillId="0" borderId="7" xfId="2" applyFont="1" applyBorder="1" applyAlignment="1">
      <alignment horizontal="center"/>
    </xf>
    <xf numFmtId="44" fontId="0" fillId="0" borderId="0" xfId="2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44" fontId="0" fillId="0" borderId="9" xfId="2" applyFont="1" applyBorder="1" applyAlignment="1">
      <alignment horizontal="center"/>
    </xf>
    <xf numFmtId="44" fontId="0" fillId="0" borderId="10" xfId="2" applyFont="1" applyBorder="1" applyAlignment="1">
      <alignment horizontal="center"/>
    </xf>
    <xf numFmtId="44" fontId="0" fillId="0" borderId="11" xfId="2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4" fontId="0" fillId="0" borderId="1" xfId="2" applyFont="1" applyBorder="1"/>
    <xf numFmtId="44" fontId="0" fillId="0" borderId="3" xfId="2" applyFont="1" applyBorder="1"/>
    <xf numFmtId="0" fontId="0" fillId="2" borderId="0" xfId="0" applyFill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" xfId="0" applyFill="1" applyBorder="1"/>
    <xf numFmtId="0" fontId="2" fillId="2" borderId="0" xfId="0" applyFont="1" applyFill="1"/>
    <xf numFmtId="0" fontId="0" fillId="0" borderId="12" xfId="0" applyBorder="1"/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2" xfId="0" applyNumberForma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2" borderId="13" xfId="0" applyFill="1" applyBorder="1"/>
    <xf numFmtId="0" fontId="0" fillId="2" borderId="0" xfId="0" applyFill="1"/>
    <xf numFmtId="0" fontId="0" fillId="2" borderId="0" xfId="0" applyFill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78C0-8B4B-461A-A8FB-9454FE5DEA46}">
  <dimension ref="A1:Q61"/>
  <sheetViews>
    <sheetView tabSelected="1" topLeftCell="A35" workbookViewId="0">
      <selection activeCell="K57" sqref="K57"/>
    </sheetView>
  </sheetViews>
  <sheetFormatPr defaultRowHeight="14.4" x14ac:dyDescent="0.3"/>
  <cols>
    <col min="3" max="3" width="11.88671875" customWidth="1"/>
    <col min="4" max="4" width="11.6640625" customWidth="1"/>
    <col min="5" max="5" width="10.5546875" bestFit="1" customWidth="1"/>
    <col min="7" max="7" width="11.44140625" customWidth="1"/>
    <col min="10" max="10" width="10.109375" bestFit="1" customWidth="1"/>
    <col min="11" max="11" width="12.88671875" customWidth="1"/>
  </cols>
  <sheetData>
    <row r="1" spans="1:15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35</v>
      </c>
      <c r="J1" t="s">
        <v>33</v>
      </c>
      <c r="K1" t="s">
        <v>34</v>
      </c>
    </row>
    <row r="2" spans="1:15" x14ac:dyDescent="0.3">
      <c r="C2" t="s">
        <v>6</v>
      </c>
      <c r="D2" s="1">
        <v>45905</v>
      </c>
      <c r="E2" t="s">
        <v>18</v>
      </c>
      <c r="F2" t="s">
        <v>23</v>
      </c>
      <c r="G2" t="s">
        <v>25</v>
      </c>
      <c r="H2" s="2">
        <v>0.02</v>
      </c>
      <c r="I2" s="4">
        <v>2</v>
      </c>
      <c r="J2" s="3">
        <v>7489</v>
      </c>
      <c r="K2" s="3">
        <f>(J2*I2)-(J2*I2*H2)</f>
        <v>14678.44</v>
      </c>
    </row>
    <row r="3" spans="1:15" x14ac:dyDescent="0.3">
      <c r="C3" t="s">
        <v>7</v>
      </c>
      <c r="D3" s="1">
        <v>45844</v>
      </c>
      <c r="E3" t="s">
        <v>19</v>
      </c>
      <c r="F3" t="s">
        <v>24</v>
      </c>
      <c r="G3" t="s">
        <v>25</v>
      </c>
      <c r="H3" s="2">
        <v>0.09</v>
      </c>
      <c r="I3" s="4">
        <v>9</v>
      </c>
      <c r="J3" s="3">
        <v>6919</v>
      </c>
      <c r="K3" s="3">
        <f t="shared" ref="K3:K13" si="0">(J3*I3)-(J3*I3*H3)</f>
        <v>56666.61</v>
      </c>
      <c r="O3" s="4"/>
    </row>
    <row r="4" spans="1:15" x14ac:dyDescent="0.3">
      <c r="C4" t="s">
        <v>8</v>
      </c>
      <c r="D4" s="1">
        <v>45659</v>
      </c>
      <c r="E4" t="s">
        <v>20</v>
      </c>
      <c r="F4" t="s">
        <v>23</v>
      </c>
      <c r="G4" t="s">
        <v>26</v>
      </c>
      <c r="H4" s="2">
        <v>0.02</v>
      </c>
      <c r="I4" s="4">
        <v>8</v>
      </c>
      <c r="J4" s="3">
        <v>7478</v>
      </c>
      <c r="K4" s="3">
        <f t="shared" si="0"/>
        <v>58627.519999999997</v>
      </c>
      <c r="O4" s="4"/>
    </row>
    <row r="5" spans="1:15" x14ac:dyDescent="0.3">
      <c r="C5" t="s">
        <v>9</v>
      </c>
      <c r="D5" s="1">
        <v>45879</v>
      </c>
      <c r="E5" t="s">
        <v>21</v>
      </c>
      <c r="F5" t="s">
        <v>23</v>
      </c>
      <c r="G5" t="s">
        <v>27</v>
      </c>
      <c r="H5" s="2">
        <v>0.04</v>
      </c>
      <c r="I5" s="4">
        <v>2</v>
      </c>
      <c r="J5" s="3">
        <v>8753</v>
      </c>
      <c r="K5" s="3">
        <f t="shared" si="0"/>
        <v>16805.759999999998</v>
      </c>
      <c r="O5" s="4"/>
    </row>
    <row r="6" spans="1:15" x14ac:dyDescent="0.3">
      <c r="C6" t="s">
        <v>10</v>
      </c>
      <c r="D6" s="1">
        <v>46000</v>
      </c>
      <c r="E6" t="s">
        <v>22</v>
      </c>
      <c r="F6" t="s">
        <v>23</v>
      </c>
      <c r="G6" t="s">
        <v>28</v>
      </c>
      <c r="H6" s="2">
        <v>0.05</v>
      </c>
      <c r="I6" s="4">
        <v>3</v>
      </c>
      <c r="J6" s="3">
        <v>5628</v>
      </c>
      <c r="K6" s="3">
        <f t="shared" si="0"/>
        <v>16039.8</v>
      </c>
      <c r="O6" s="4"/>
    </row>
    <row r="7" spans="1:15" x14ac:dyDescent="0.3">
      <c r="C7" t="s">
        <v>11</v>
      </c>
      <c r="D7" s="1">
        <v>46121</v>
      </c>
      <c r="E7" t="s">
        <v>22</v>
      </c>
      <c r="F7" t="s">
        <v>24</v>
      </c>
      <c r="G7" t="s">
        <v>28</v>
      </c>
      <c r="H7" s="2">
        <v>0.04</v>
      </c>
      <c r="I7" s="4">
        <v>5</v>
      </c>
      <c r="J7" s="3">
        <v>9332</v>
      </c>
      <c r="K7" s="3">
        <f t="shared" si="0"/>
        <v>44793.599999999999</v>
      </c>
      <c r="O7" s="4"/>
    </row>
    <row r="8" spans="1:15" x14ac:dyDescent="0.3">
      <c r="C8" t="s">
        <v>12</v>
      </c>
      <c r="D8" s="1">
        <v>46242</v>
      </c>
      <c r="E8" t="s">
        <v>18</v>
      </c>
      <c r="F8" t="s">
        <v>24</v>
      </c>
      <c r="G8" t="s">
        <v>28</v>
      </c>
      <c r="H8" s="2">
        <v>0.03</v>
      </c>
      <c r="I8" s="4">
        <v>5</v>
      </c>
      <c r="J8" s="3">
        <v>6021</v>
      </c>
      <c r="K8" s="3">
        <f t="shared" si="0"/>
        <v>29201.85</v>
      </c>
      <c r="O8" s="4"/>
    </row>
    <row r="9" spans="1:15" x14ac:dyDescent="0.3">
      <c r="C9" t="s">
        <v>13</v>
      </c>
      <c r="D9" s="1">
        <v>46363</v>
      </c>
      <c r="E9" t="s">
        <v>20</v>
      </c>
      <c r="F9" t="s">
        <v>24</v>
      </c>
      <c r="G9" t="s">
        <v>29</v>
      </c>
      <c r="H9" s="2">
        <v>0.01</v>
      </c>
      <c r="I9" s="4">
        <v>4</v>
      </c>
      <c r="J9" s="3">
        <v>6527</v>
      </c>
      <c r="K9" s="3">
        <f t="shared" si="0"/>
        <v>25846.92</v>
      </c>
      <c r="O9" s="4"/>
    </row>
    <row r="10" spans="1:15" x14ac:dyDescent="0.3">
      <c r="C10" t="s">
        <v>14</v>
      </c>
      <c r="D10" s="1">
        <v>45728</v>
      </c>
      <c r="E10" t="s">
        <v>20</v>
      </c>
      <c r="F10" t="s">
        <v>24</v>
      </c>
      <c r="G10" t="s">
        <v>30</v>
      </c>
      <c r="H10" s="2">
        <v>0.02</v>
      </c>
      <c r="I10" s="4">
        <v>2</v>
      </c>
      <c r="J10" s="3">
        <v>5538</v>
      </c>
      <c r="K10" s="3">
        <f t="shared" si="0"/>
        <v>10854.48</v>
      </c>
      <c r="O10" s="4"/>
    </row>
    <row r="11" spans="1:15" x14ac:dyDescent="0.3">
      <c r="C11" t="s">
        <v>15</v>
      </c>
      <c r="D11" s="1">
        <v>45875</v>
      </c>
      <c r="E11" t="s">
        <v>18</v>
      </c>
      <c r="F11" t="s">
        <v>24</v>
      </c>
      <c r="G11" t="s">
        <v>31</v>
      </c>
      <c r="H11" s="2">
        <v>0.03</v>
      </c>
      <c r="I11" s="4">
        <v>1</v>
      </c>
      <c r="J11" s="3">
        <v>9740</v>
      </c>
      <c r="K11" s="3">
        <f t="shared" si="0"/>
        <v>9447.7999999999993</v>
      </c>
      <c r="O11" s="4"/>
    </row>
    <row r="12" spans="1:15" x14ac:dyDescent="0.3">
      <c r="C12" t="s">
        <v>16</v>
      </c>
      <c r="D12" s="1">
        <v>45661</v>
      </c>
      <c r="E12" t="s">
        <v>19</v>
      </c>
      <c r="F12" t="s">
        <v>24</v>
      </c>
      <c r="G12" t="s">
        <v>32</v>
      </c>
      <c r="H12" s="2">
        <v>0.02</v>
      </c>
      <c r="I12" s="4">
        <v>4</v>
      </c>
      <c r="J12" s="3">
        <v>6976</v>
      </c>
      <c r="K12" s="3">
        <f t="shared" si="0"/>
        <v>27345.919999999998</v>
      </c>
      <c r="O12" s="4"/>
    </row>
    <row r="13" spans="1:15" x14ac:dyDescent="0.3">
      <c r="C13" t="s">
        <v>17</v>
      </c>
      <c r="D13" s="1">
        <v>45722</v>
      </c>
      <c r="E13" t="s">
        <v>21</v>
      </c>
      <c r="F13" t="s">
        <v>23</v>
      </c>
      <c r="G13" t="s">
        <v>32</v>
      </c>
      <c r="H13" s="2">
        <v>0.01</v>
      </c>
      <c r="I13" s="4">
        <v>6</v>
      </c>
      <c r="J13" s="3">
        <v>9842</v>
      </c>
      <c r="K13" s="3">
        <f t="shared" si="0"/>
        <v>58461.48</v>
      </c>
      <c r="O13" s="4"/>
    </row>
    <row r="14" spans="1:15" x14ac:dyDescent="0.3">
      <c r="O14" s="4"/>
    </row>
    <row r="15" spans="1:15" x14ac:dyDescent="0.3">
      <c r="A15" s="32" t="s">
        <v>36</v>
      </c>
      <c r="B15" s="32"/>
      <c r="C15" s="32"/>
      <c r="D15" s="32"/>
      <c r="E15" s="32"/>
      <c r="F15" s="32"/>
      <c r="I15" s="27" t="s">
        <v>41</v>
      </c>
      <c r="J15" s="28"/>
      <c r="K15" s="28"/>
      <c r="L15" s="28"/>
      <c r="M15" s="28"/>
      <c r="N15" s="28"/>
      <c r="O15" s="29"/>
    </row>
    <row r="16" spans="1:15" x14ac:dyDescent="0.3">
      <c r="A16" s="24" t="s">
        <v>37</v>
      </c>
      <c r="B16" s="25"/>
      <c r="C16" s="25"/>
      <c r="D16" s="26"/>
      <c r="E16" s="30">
        <f>SUMIF(Country,"USA",Total)</f>
        <v>84012.53</v>
      </c>
      <c r="F16" s="31"/>
      <c r="I16" s="6" t="s">
        <v>42</v>
      </c>
      <c r="J16" s="7"/>
      <c r="K16" s="8"/>
      <c r="L16" s="15">
        <f>SUMIF(Gender,"Male",Total)</f>
        <v>164613</v>
      </c>
      <c r="M16" s="16"/>
      <c r="N16" s="16"/>
      <c r="O16" s="17"/>
    </row>
    <row r="17" spans="1:16" x14ac:dyDescent="0.3">
      <c r="A17" s="24" t="s">
        <v>38</v>
      </c>
      <c r="B17" s="25"/>
      <c r="C17" s="25"/>
      <c r="D17" s="26"/>
      <c r="E17" s="30">
        <f>SUMIF(Country,"France",Total)</f>
        <v>95328.92</v>
      </c>
      <c r="F17" s="31"/>
      <c r="I17" s="9"/>
      <c r="J17" s="10"/>
      <c r="K17" s="11"/>
      <c r="L17" s="18"/>
      <c r="M17" s="19"/>
      <c r="N17" s="19"/>
      <c r="O17" s="20"/>
    </row>
    <row r="18" spans="1:16" x14ac:dyDescent="0.3">
      <c r="A18" s="24" t="s">
        <v>39</v>
      </c>
      <c r="B18" s="25"/>
      <c r="C18" s="25"/>
      <c r="D18" s="26"/>
      <c r="E18" s="30">
        <f>SUMIF(Country,"Canada",Total)</f>
        <v>75267.240000000005</v>
      </c>
      <c r="F18" s="31"/>
      <c r="I18" s="9"/>
      <c r="J18" s="10"/>
      <c r="K18" s="11"/>
      <c r="L18" s="18"/>
      <c r="M18" s="19"/>
      <c r="N18" s="19"/>
      <c r="O18" s="20"/>
    </row>
    <row r="19" spans="1:16" x14ac:dyDescent="0.3">
      <c r="A19" s="24" t="s">
        <v>40</v>
      </c>
      <c r="B19" s="25"/>
      <c r="C19" s="25"/>
      <c r="D19" s="26"/>
      <c r="E19" s="30">
        <f>SUMIF(Country,"Ghana",Total)</f>
        <v>60833.399999999994</v>
      </c>
      <c r="F19" s="31"/>
      <c r="I19" s="9"/>
      <c r="J19" s="10"/>
      <c r="K19" s="11"/>
      <c r="L19" s="18"/>
      <c r="M19" s="19"/>
      <c r="N19" s="19"/>
      <c r="O19" s="20"/>
    </row>
    <row r="20" spans="1:16" x14ac:dyDescent="0.3">
      <c r="A20" s="24"/>
      <c r="B20" s="25"/>
      <c r="C20" s="25"/>
      <c r="D20" s="26"/>
      <c r="E20" s="24"/>
      <c r="F20" s="26"/>
      <c r="I20" s="9"/>
      <c r="J20" s="10"/>
      <c r="K20" s="11"/>
      <c r="L20" s="18"/>
      <c r="M20" s="19"/>
      <c r="N20" s="19"/>
      <c r="O20" s="20"/>
    </row>
    <row r="21" spans="1:16" x14ac:dyDescent="0.3">
      <c r="A21" s="24" t="s">
        <v>44</v>
      </c>
      <c r="B21" s="25"/>
      <c r="C21" s="25"/>
      <c r="D21" s="26"/>
      <c r="E21" s="30">
        <f>AVERAGE(Total)</f>
        <v>30730.848333333328</v>
      </c>
      <c r="F21" s="31"/>
      <c r="I21" s="12"/>
      <c r="J21" s="13"/>
      <c r="K21" s="14"/>
      <c r="L21" s="21"/>
      <c r="M21" s="22"/>
      <c r="N21" s="22"/>
      <c r="O21" s="23"/>
    </row>
    <row r="22" spans="1:16" x14ac:dyDescent="0.3">
      <c r="A22" s="24" t="s">
        <v>45</v>
      </c>
      <c r="B22" s="25"/>
      <c r="C22" s="25"/>
      <c r="D22" s="26"/>
      <c r="E22" s="30">
        <f>MAX(Total)</f>
        <v>58627.519999999997</v>
      </c>
      <c r="F22" s="31"/>
      <c r="I22" s="6" t="s">
        <v>43</v>
      </c>
      <c r="J22" s="7"/>
      <c r="K22" s="8"/>
      <c r="L22" s="15">
        <f>SUMIF(Gender,F3,Total)</f>
        <v>204157.18</v>
      </c>
      <c r="M22" s="16"/>
      <c r="N22" s="16"/>
      <c r="O22" s="17"/>
    </row>
    <row r="23" spans="1:16" x14ac:dyDescent="0.3">
      <c r="A23" s="24" t="s">
        <v>46</v>
      </c>
      <c r="B23" s="25"/>
      <c r="C23" s="25"/>
      <c r="D23" s="26"/>
      <c r="E23" s="30">
        <f>MIN(Total)</f>
        <v>9447.7999999999993</v>
      </c>
      <c r="F23" s="31"/>
      <c r="I23" s="9"/>
      <c r="J23" s="10"/>
      <c r="K23" s="11"/>
      <c r="L23" s="18"/>
      <c r="M23" s="33"/>
      <c r="N23" s="33"/>
      <c r="O23" s="20"/>
    </row>
    <row r="24" spans="1:16" x14ac:dyDescent="0.3">
      <c r="A24" s="24" t="s">
        <v>47</v>
      </c>
      <c r="B24" s="25"/>
      <c r="C24" s="25"/>
      <c r="D24" s="26"/>
      <c r="E24" s="24">
        <f>COUNT(Total)</f>
        <v>12</v>
      </c>
      <c r="F24" s="26"/>
      <c r="I24" s="9"/>
      <c r="J24" s="10"/>
      <c r="K24" s="11"/>
      <c r="L24" s="18"/>
      <c r="M24" s="33"/>
      <c r="N24" s="33"/>
      <c r="O24" s="20"/>
    </row>
    <row r="25" spans="1:16" x14ac:dyDescent="0.3">
      <c r="I25" s="9"/>
      <c r="J25" s="10"/>
      <c r="K25" s="11"/>
      <c r="L25" s="18"/>
      <c r="M25" s="33"/>
      <c r="N25" s="33"/>
      <c r="O25" s="20"/>
    </row>
    <row r="26" spans="1:16" x14ac:dyDescent="0.3">
      <c r="I26" s="9"/>
      <c r="J26" s="10"/>
      <c r="K26" s="11"/>
      <c r="L26" s="18"/>
      <c r="M26" s="33"/>
      <c r="N26" s="33"/>
      <c r="O26" s="20"/>
    </row>
    <row r="27" spans="1:16" x14ac:dyDescent="0.3">
      <c r="I27" s="9"/>
      <c r="J27" s="10"/>
      <c r="K27" s="11"/>
      <c r="L27" s="18"/>
      <c r="M27" s="33"/>
      <c r="N27" s="33"/>
      <c r="O27" s="20"/>
    </row>
    <row r="28" spans="1:16" x14ac:dyDescent="0.3">
      <c r="I28" s="12"/>
      <c r="J28" s="13"/>
      <c r="K28" s="14"/>
      <c r="L28" s="21"/>
      <c r="M28" s="22"/>
      <c r="N28" s="22"/>
      <c r="O28" s="23"/>
    </row>
    <row r="31" spans="1:16" ht="18" x14ac:dyDescent="0.35">
      <c r="A31" s="44" t="s">
        <v>56</v>
      </c>
      <c r="B31" s="44"/>
      <c r="C31" s="44"/>
      <c r="E31" s="50" t="s">
        <v>57</v>
      </c>
      <c r="F31" s="50"/>
      <c r="G31" s="51" t="s">
        <v>58</v>
      </c>
      <c r="H31" s="51"/>
      <c r="I31" s="51" t="s">
        <v>59</v>
      </c>
      <c r="J31" s="51"/>
      <c r="K31" s="50" t="s">
        <v>60</v>
      </c>
      <c r="L31" s="50" t="s">
        <v>67</v>
      </c>
      <c r="M31" s="50" t="s">
        <v>68</v>
      </c>
      <c r="N31" s="50" t="s">
        <v>69</v>
      </c>
      <c r="O31" s="50" t="s">
        <v>70</v>
      </c>
      <c r="P31" s="58" t="s">
        <v>71</v>
      </c>
    </row>
    <row r="32" spans="1:16" x14ac:dyDescent="0.3">
      <c r="A32" s="36" t="s">
        <v>48</v>
      </c>
      <c r="B32" s="37"/>
      <c r="C32" s="38">
        <f>COUNTIF(Category,"seasoning")</f>
        <v>2</v>
      </c>
      <c r="E32" s="52">
        <f ca="1">TODAY()</f>
        <v>46310</v>
      </c>
      <c r="F32" s="53"/>
      <c r="G32" s="46" t="s">
        <v>61</v>
      </c>
      <c r="H32" s="46"/>
      <c r="I32" s="47">
        <v>32906</v>
      </c>
      <c r="J32" s="46"/>
      <c r="K32" s="45">
        <f ca="1">DATEDIF(I32,$E$32,"y")</f>
        <v>36</v>
      </c>
      <c r="L32" s="45" t="str">
        <f ca="1">IF(K32&gt;60,"Send-Off","Active")</f>
        <v>Active</v>
      </c>
      <c r="M32" s="45">
        <f>YEAR(I32)</f>
        <v>1990</v>
      </c>
      <c r="N32" s="45">
        <f>MONTH(I32)</f>
        <v>2</v>
      </c>
      <c r="O32" s="45">
        <f>DAY(I32)</f>
        <v>2</v>
      </c>
      <c r="P32" s="1">
        <f>DATE(M32,N32,O32)</f>
        <v>32906</v>
      </c>
    </row>
    <row r="33" spans="1:17" x14ac:dyDescent="0.3">
      <c r="A33" s="39" t="s">
        <v>49</v>
      </c>
      <c r="B33" s="34"/>
      <c r="C33" s="40">
        <f>COUNTIF(Category,"Beef")</f>
        <v>1</v>
      </c>
      <c r="E33" s="54"/>
      <c r="F33" s="55"/>
      <c r="G33" s="46" t="s">
        <v>62</v>
      </c>
      <c r="H33" s="46"/>
      <c r="I33" s="47">
        <v>45387</v>
      </c>
      <c r="J33" s="46"/>
      <c r="K33" s="45">
        <f t="shared" ref="K33:K37" ca="1" si="1">DATEDIF(I33,$E$32,"y")</f>
        <v>2</v>
      </c>
      <c r="L33" s="45" t="str">
        <f t="shared" ref="L33:L37" ca="1" si="2">IF(K33&gt;60,"Send-Off","Active")</f>
        <v>Active</v>
      </c>
      <c r="M33" s="45">
        <f t="shared" ref="M33:M37" si="3">YEAR(I33)</f>
        <v>2024</v>
      </c>
      <c r="N33" s="45">
        <f t="shared" ref="N33:N37" si="4">MONTH(I33)</f>
        <v>4</v>
      </c>
      <c r="O33" s="45">
        <f t="shared" ref="O33:O37" si="5">DAY(I33)</f>
        <v>5</v>
      </c>
      <c r="P33" s="1">
        <f t="shared" ref="P33:P37" si="6">DATE(M33,N33,O33)</f>
        <v>45387</v>
      </c>
    </row>
    <row r="34" spans="1:17" x14ac:dyDescent="0.3">
      <c r="A34" s="39" t="s">
        <v>50</v>
      </c>
      <c r="B34" s="34"/>
      <c r="C34" s="40">
        <f>COUNTIF(Category,"By-Product")</f>
        <v>1</v>
      </c>
      <c r="E34" s="54"/>
      <c r="F34" s="55"/>
      <c r="G34" s="46" t="s">
        <v>63</v>
      </c>
      <c r="H34" s="46"/>
      <c r="I34" s="48">
        <v>38177</v>
      </c>
      <c r="J34" s="49"/>
      <c r="K34" s="45">
        <f t="shared" ca="1" si="1"/>
        <v>22</v>
      </c>
      <c r="L34" s="45" t="str">
        <f t="shared" ca="1" si="2"/>
        <v>Active</v>
      </c>
      <c r="M34" s="45">
        <f t="shared" si="3"/>
        <v>2004</v>
      </c>
      <c r="N34" s="45">
        <f t="shared" si="4"/>
        <v>7</v>
      </c>
      <c r="O34" s="45">
        <f t="shared" si="5"/>
        <v>9</v>
      </c>
      <c r="P34" s="1">
        <f t="shared" si="6"/>
        <v>38177</v>
      </c>
    </row>
    <row r="35" spans="1:17" x14ac:dyDescent="0.3">
      <c r="A35" s="39" t="s">
        <v>51</v>
      </c>
      <c r="B35" s="34"/>
      <c r="C35" s="40">
        <f>COUNTIF(Category,"Beverage")</f>
        <v>3</v>
      </c>
      <c r="E35" s="54"/>
      <c r="F35" s="55"/>
      <c r="G35" s="46" t="s">
        <v>64</v>
      </c>
      <c r="H35" s="46"/>
      <c r="I35" s="47">
        <v>36376</v>
      </c>
      <c r="J35" s="46"/>
      <c r="K35" s="45">
        <f t="shared" ca="1" si="1"/>
        <v>27</v>
      </c>
      <c r="L35" s="45" t="str">
        <f t="shared" ca="1" si="2"/>
        <v>Active</v>
      </c>
      <c r="M35" s="45">
        <f t="shared" si="3"/>
        <v>1999</v>
      </c>
      <c r="N35" s="45">
        <f t="shared" si="4"/>
        <v>8</v>
      </c>
      <c r="O35" s="45">
        <f t="shared" si="5"/>
        <v>4</v>
      </c>
      <c r="P35" s="1">
        <f t="shared" si="6"/>
        <v>36376</v>
      </c>
    </row>
    <row r="36" spans="1:17" x14ac:dyDescent="0.3">
      <c r="A36" s="39" t="s">
        <v>52</v>
      </c>
      <c r="B36" s="34"/>
      <c r="C36" s="40">
        <f>COUNTIF(Category,"Cereal")</f>
        <v>1</v>
      </c>
      <c r="E36" s="54"/>
      <c r="F36" s="55"/>
      <c r="G36" s="46" t="s">
        <v>65</v>
      </c>
      <c r="H36" s="46"/>
      <c r="I36" s="47">
        <v>15955</v>
      </c>
      <c r="J36" s="46"/>
      <c r="K36" s="45">
        <f t="shared" ca="1" si="1"/>
        <v>83</v>
      </c>
      <c r="L36" s="45" t="str">
        <f t="shared" ca="1" si="2"/>
        <v>Send-Off</v>
      </c>
      <c r="M36" s="45">
        <f t="shared" si="3"/>
        <v>1943</v>
      </c>
      <c r="N36" s="45">
        <f t="shared" si="4"/>
        <v>9</v>
      </c>
      <c r="O36" s="45">
        <f t="shared" si="5"/>
        <v>6</v>
      </c>
      <c r="P36" s="1">
        <f t="shared" si="6"/>
        <v>15955</v>
      </c>
    </row>
    <row r="37" spans="1:17" x14ac:dyDescent="0.3">
      <c r="A37" s="39" t="s">
        <v>53</v>
      </c>
      <c r="B37" s="34"/>
      <c r="C37" s="40">
        <f>COUNTIF(Category,"Soda")</f>
        <v>1</v>
      </c>
      <c r="E37" s="56"/>
      <c r="F37" s="57"/>
      <c r="G37" s="46" t="s">
        <v>66</v>
      </c>
      <c r="H37" s="46"/>
      <c r="I37" s="47">
        <v>36558</v>
      </c>
      <c r="J37" s="46"/>
      <c r="K37" s="45">
        <f t="shared" ca="1" si="1"/>
        <v>26</v>
      </c>
      <c r="L37" s="45" t="str">
        <f t="shared" ca="1" si="2"/>
        <v>Active</v>
      </c>
      <c r="M37" s="45">
        <f t="shared" si="3"/>
        <v>2000</v>
      </c>
      <c r="N37" s="45">
        <f t="shared" si="4"/>
        <v>2</v>
      </c>
      <c r="O37" s="45">
        <f t="shared" si="5"/>
        <v>2</v>
      </c>
      <c r="P37" s="1">
        <f t="shared" si="6"/>
        <v>36558</v>
      </c>
    </row>
    <row r="38" spans="1:17" x14ac:dyDescent="0.3">
      <c r="A38" s="39" t="s">
        <v>54</v>
      </c>
      <c r="B38" s="34"/>
      <c r="C38" s="40">
        <f>COUNTIF(Category,"Sweetening")</f>
        <v>1</v>
      </c>
    </row>
    <row r="39" spans="1:17" x14ac:dyDescent="0.3">
      <c r="A39" s="41" t="s">
        <v>55</v>
      </c>
      <c r="B39" s="35"/>
      <c r="C39" s="42">
        <f>COUNTIF(Category,"Grain")</f>
        <v>2</v>
      </c>
    </row>
    <row r="40" spans="1:17" x14ac:dyDescent="0.3">
      <c r="A40" s="43" t="s">
        <v>34</v>
      </c>
      <c r="B40" s="5"/>
      <c r="C40" s="5">
        <f>SUM(C32:C39)</f>
        <v>12</v>
      </c>
    </row>
    <row r="44" spans="1:17" x14ac:dyDescent="0.3">
      <c r="B44" t="s">
        <v>72</v>
      </c>
    </row>
    <row r="45" spans="1:17" x14ac:dyDescent="0.3">
      <c r="D45" s="51" t="s">
        <v>58</v>
      </c>
      <c r="E45" s="51"/>
      <c r="F45" s="51" t="s">
        <v>59</v>
      </c>
      <c r="G45" s="51"/>
      <c r="H45" s="50" t="s">
        <v>60</v>
      </c>
      <c r="I45" s="50" t="s">
        <v>67</v>
      </c>
      <c r="J45" s="59" t="s">
        <v>74</v>
      </c>
      <c r="K45" s="59" t="s">
        <v>73</v>
      </c>
      <c r="L45" s="60" t="s">
        <v>75</v>
      </c>
      <c r="M45" s="60" t="s">
        <v>76</v>
      </c>
      <c r="N45" s="60" t="s">
        <v>78</v>
      </c>
      <c r="O45" s="60" t="s">
        <v>77</v>
      </c>
      <c r="P45" s="60" t="s">
        <v>85</v>
      </c>
      <c r="Q45" s="60" t="s">
        <v>86</v>
      </c>
    </row>
    <row r="46" spans="1:17" x14ac:dyDescent="0.3">
      <c r="D46" s="46" t="s">
        <v>61</v>
      </c>
      <c r="E46" s="46"/>
      <c r="F46" s="47">
        <v>32906</v>
      </c>
      <c r="G46" s="46"/>
      <c r="H46" s="45">
        <f ca="1">DATEDIF(F46,$E$32,"y")</f>
        <v>36</v>
      </c>
      <c r="I46" s="45" t="str">
        <f ca="1">IF(H46&gt;60,"Send-Off","Active")</f>
        <v>Active</v>
      </c>
      <c r="J46" t="str">
        <f>LOWER(D46)</f>
        <v>andy</v>
      </c>
      <c r="K46" t="str">
        <f>PROPER(J46)</f>
        <v>Andy</v>
      </c>
      <c r="L46" t="str">
        <f>UPPER(K46)</f>
        <v>ANDY</v>
      </c>
      <c r="M46">
        <f>LEN(L46)</f>
        <v>4</v>
      </c>
      <c r="N46" t="s">
        <v>79</v>
      </c>
      <c r="O46" t="str">
        <f>_xlfn.CONCAT(L46," ",N46)</f>
        <v xml:space="preserve">ANDY Martins </v>
      </c>
      <c r="P46" t="str">
        <f>LEFT(O46,8)</f>
        <v>ANDY Mar</v>
      </c>
      <c r="Q46" t="str">
        <f>RIGHT(O46,8)</f>
        <v xml:space="preserve">Martins </v>
      </c>
    </row>
    <row r="47" spans="1:17" x14ac:dyDescent="0.3">
      <c r="D47" s="46" t="s">
        <v>62</v>
      </c>
      <c r="E47" s="46"/>
      <c r="F47" s="47">
        <v>45387</v>
      </c>
      <c r="G47" s="46"/>
      <c r="H47" s="45">
        <f t="shared" ref="H47:H51" ca="1" si="7">DATEDIF(F47,$E$32,"y")</f>
        <v>2</v>
      </c>
      <c r="I47" s="45" t="str">
        <f t="shared" ref="I47:I51" ca="1" si="8">IF(H47&gt;60,"Send-Off","Active")</f>
        <v>Active</v>
      </c>
      <c r="J47" t="str">
        <f t="shared" ref="J47:J51" si="9">LOWER(D47)</f>
        <v>young</v>
      </c>
      <c r="K47" t="str">
        <f t="shared" ref="K47:K51" si="10">PROPER(J47)</f>
        <v>Young</v>
      </c>
      <c r="L47" t="str">
        <f t="shared" ref="L47:L51" si="11">UPPER(K47)</f>
        <v>YOUNG</v>
      </c>
      <c r="M47">
        <f t="shared" ref="M47:M51" si="12">LEN(L47)</f>
        <v>5</v>
      </c>
      <c r="N47" t="s">
        <v>80</v>
      </c>
      <c r="O47" t="str">
        <f t="shared" ref="O47:O51" si="13">_xlfn.CONCAT(L47," ",N47)</f>
        <v>YOUNG Henry</v>
      </c>
      <c r="P47" t="str">
        <f t="shared" ref="P47:P51" si="14">LEFT(O47,8)</f>
        <v>YOUNG He</v>
      </c>
      <c r="Q47" t="str">
        <f t="shared" ref="Q47:Q51" si="15">RIGHT(O47,8)</f>
        <v>NG Henry</v>
      </c>
    </row>
    <row r="48" spans="1:17" x14ac:dyDescent="0.3">
      <c r="D48" s="46" t="s">
        <v>63</v>
      </c>
      <c r="E48" s="46"/>
      <c r="F48" s="48">
        <v>38177</v>
      </c>
      <c r="G48" s="49"/>
      <c r="H48" s="45">
        <f t="shared" ca="1" si="7"/>
        <v>22</v>
      </c>
      <c r="I48" s="45" t="str">
        <f t="shared" ca="1" si="8"/>
        <v>Active</v>
      </c>
      <c r="J48" t="str">
        <f t="shared" si="9"/>
        <v>ray</v>
      </c>
      <c r="K48" t="str">
        <f t="shared" si="10"/>
        <v>Ray</v>
      </c>
      <c r="L48" t="str">
        <f t="shared" si="11"/>
        <v>RAY</v>
      </c>
      <c r="M48">
        <f t="shared" si="12"/>
        <v>3</v>
      </c>
      <c r="N48" t="s">
        <v>81</v>
      </c>
      <c r="O48" t="str">
        <f t="shared" si="13"/>
        <v>RAY Daniel</v>
      </c>
      <c r="P48" t="str">
        <f t="shared" si="14"/>
        <v>RAY Dani</v>
      </c>
      <c r="Q48" t="str">
        <f t="shared" si="15"/>
        <v>Y Daniel</v>
      </c>
    </row>
    <row r="49" spans="1:17" x14ac:dyDescent="0.3">
      <c r="D49" s="46" t="s">
        <v>64</v>
      </c>
      <c r="E49" s="46"/>
      <c r="F49" s="47">
        <v>36376</v>
      </c>
      <c r="G49" s="46"/>
      <c r="H49" s="45">
        <f t="shared" ca="1" si="7"/>
        <v>27</v>
      </c>
      <c r="I49" s="45" t="str">
        <f t="shared" ca="1" si="8"/>
        <v>Active</v>
      </c>
      <c r="J49" t="str">
        <f t="shared" si="9"/>
        <v>james</v>
      </c>
      <c r="K49" t="str">
        <f t="shared" si="10"/>
        <v>James</v>
      </c>
      <c r="L49" t="str">
        <f t="shared" si="11"/>
        <v>JAMES</v>
      </c>
      <c r="M49">
        <f t="shared" si="12"/>
        <v>5</v>
      </c>
      <c r="N49" t="s">
        <v>82</v>
      </c>
      <c r="O49" t="str">
        <f t="shared" si="13"/>
        <v>JAMES Frank</v>
      </c>
      <c r="P49" t="str">
        <f t="shared" si="14"/>
        <v>JAMES Fr</v>
      </c>
      <c r="Q49" t="str">
        <f t="shared" si="15"/>
        <v>ES Frank</v>
      </c>
    </row>
    <row r="50" spans="1:17" x14ac:dyDescent="0.3">
      <c r="D50" s="46" t="s">
        <v>65</v>
      </c>
      <c r="E50" s="46"/>
      <c r="F50" s="47">
        <v>15955</v>
      </c>
      <c r="G50" s="46"/>
      <c r="H50" s="45">
        <f t="shared" ca="1" si="7"/>
        <v>83</v>
      </c>
      <c r="I50" s="45" t="str">
        <f t="shared" ca="1" si="8"/>
        <v>Send-Off</v>
      </c>
      <c r="J50" t="str">
        <f t="shared" si="9"/>
        <v>sandra</v>
      </c>
      <c r="K50" t="str">
        <f t="shared" si="10"/>
        <v>Sandra</v>
      </c>
      <c r="L50" t="str">
        <f t="shared" si="11"/>
        <v>SANDRA</v>
      </c>
      <c r="M50">
        <f t="shared" si="12"/>
        <v>6</v>
      </c>
      <c r="N50" t="s">
        <v>83</v>
      </c>
      <c r="O50" t="str">
        <f t="shared" si="13"/>
        <v xml:space="preserve">SANDRA John </v>
      </c>
      <c r="P50" t="str">
        <f t="shared" si="14"/>
        <v>SANDRA J</v>
      </c>
      <c r="Q50" t="str">
        <f t="shared" si="15"/>
        <v xml:space="preserve">RA John </v>
      </c>
    </row>
    <row r="51" spans="1:17" x14ac:dyDescent="0.3">
      <c r="D51" s="46" t="s">
        <v>66</v>
      </c>
      <c r="E51" s="46"/>
      <c r="F51" s="47">
        <v>36558</v>
      </c>
      <c r="G51" s="46"/>
      <c r="H51" s="45">
        <f t="shared" ca="1" si="7"/>
        <v>26</v>
      </c>
      <c r="I51" s="45" t="str">
        <f t="shared" ca="1" si="8"/>
        <v>Active</v>
      </c>
      <c r="J51" t="str">
        <f t="shared" si="9"/>
        <v>williams</v>
      </c>
      <c r="K51" t="str">
        <f t="shared" si="10"/>
        <v>Williams</v>
      </c>
      <c r="L51" t="str">
        <f t="shared" si="11"/>
        <v>WILLIAMS</v>
      </c>
      <c r="M51">
        <f t="shared" si="12"/>
        <v>8</v>
      </c>
      <c r="N51" t="s">
        <v>84</v>
      </c>
      <c r="O51" t="str">
        <f t="shared" si="13"/>
        <v xml:space="preserve">WILLIAMS Lucky </v>
      </c>
      <c r="P51" t="str">
        <f t="shared" si="14"/>
        <v>WILLIAMS</v>
      </c>
      <c r="Q51" t="str">
        <f t="shared" si="15"/>
        <v xml:space="preserve">S Lucky </v>
      </c>
    </row>
    <row r="54" spans="1:17" x14ac:dyDescent="0.3">
      <c r="A54" t="s">
        <v>87</v>
      </c>
    </row>
    <row r="55" spans="1:17" x14ac:dyDescent="0.3">
      <c r="A55" s="51" t="s">
        <v>58</v>
      </c>
      <c r="B55" s="51"/>
      <c r="C55" s="51" t="s">
        <v>59</v>
      </c>
      <c r="D55" s="51"/>
      <c r="E55" s="50" t="s">
        <v>60</v>
      </c>
      <c r="F55" s="50" t="s">
        <v>67</v>
      </c>
      <c r="G55" s="59" t="s">
        <v>88</v>
      </c>
      <c r="H55" s="60" t="s">
        <v>92</v>
      </c>
      <c r="I55" s="60" t="s">
        <v>93</v>
      </c>
      <c r="J55" s="60" t="s">
        <v>94</v>
      </c>
    </row>
    <row r="56" spans="1:17" x14ac:dyDescent="0.3">
      <c r="A56" s="46" t="s">
        <v>61</v>
      </c>
      <c r="B56" s="46"/>
      <c r="C56" s="47">
        <v>32906</v>
      </c>
      <c r="D56" s="46"/>
      <c r="E56" s="45">
        <f ca="1">DATEDIF(C56,$E$32,"y")</f>
        <v>36</v>
      </c>
      <c r="F56" s="45" t="str">
        <f ca="1">IF(E56&gt;60,"Send-Off","Active")</f>
        <v>Active</v>
      </c>
      <c r="G56" t="s">
        <v>91</v>
      </c>
      <c r="H56" t="str">
        <f t="shared" ref="H56:H61" ca="1" si="16">IF(AND(E59&gt;25,G56="Bsc."),"Yes","No")</f>
        <v>Yes</v>
      </c>
      <c r="I56" t="str">
        <f ca="1">IF(OR(E59&gt;25,G56="Bsc."),"Yes","No")</f>
        <v>Yes</v>
      </c>
      <c r="J56" t="str">
        <f ca="1">IF(NOT(E56="Active"),"Good bye","Stay")</f>
        <v>Good bye</v>
      </c>
    </row>
    <row r="57" spans="1:17" x14ac:dyDescent="0.3">
      <c r="A57" s="46" t="s">
        <v>62</v>
      </c>
      <c r="B57" s="46"/>
      <c r="C57" s="47">
        <v>45387</v>
      </c>
      <c r="D57" s="46"/>
      <c r="E57" s="45">
        <f t="shared" ref="E57:E61" ca="1" si="17">DATEDIF(C57,$E$32,"y")</f>
        <v>2</v>
      </c>
      <c r="F57" s="45" t="str">
        <f t="shared" ref="F57:F61" ca="1" si="18">IF(E57&gt;60,"Send-Off","Active")</f>
        <v>Active</v>
      </c>
      <c r="G57" t="s">
        <v>89</v>
      </c>
      <c r="H57" t="str">
        <f t="shared" ca="1" si="16"/>
        <v>No</v>
      </c>
      <c r="I57" t="str">
        <f t="shared" ref="I57:I61" ca="1" si="19">IF(OR(E60&gt;25,G57="Bsc."),"Yes","No")</f>
        <v>Yes</v>
      </c>
      <c r="J57" t="str">
        <f t="shared" ref="J57:J61" ca="1" si="20">IF(NOT(E57="Active"),"Good bye","Stay")</f>
        <v>Good bye</v>
      </c>
    </row>
    <row r="58" spans="1:17" x14ac:dyDescent="0.3">
      <c r="A58" s="46" t="s">
        <v>63</v>
      </c>
      <c r="B58" s="46"/>
      <c r="C58" s="48">
        <v>38177</v>
      </c>
      <c r="D58" s="49"/>
      <c r="E58" s="45">
        <f t="shared" ca="1" si="17"/>
        <v>22</v>
      </c>
      <c r="F58" s="45" t="str">
        <f t="shared" ca="1" si="18"/>
        <v>Active</v>
      </c>
      <c r="G58" t="s">
        <v>90</v>
      </c>
      <c r="H58" t="str">
        <f t="shared" ca="1" si="16"/>
        <v>No</v>
      </c>
      <c r="I58" t="str">
        <f t="shared" ca="1" si="19"/>
        <v>Yes</v>
      </c>
      <c r="J58" t="str">
        <f t="shared" ca="1" si="20"/>
        <v>Good bye</v>
      </c>
    </row>
    <row r="59" spans="1:17" x14ac:dyDescent="0.3">
      <c r="A59" s="46" t="s">
        <v>64</v>
      </c>
      <c r="B59" s="46"/>
      <c r="C59" s="47">
        <v>36376</v>
      </c>
      <c r="D59" s="46"/>
      <c r="E59" s="45">
        <f t="shared" ca="1" si="17"/>
        <v>27</v>
      </c>
      <c r="F59" s="45" t="str">
        <f t="shared" ca="1" si="18"/>
        <v>Active</v>
      </c>
      <c r="G59" t="s">
        <v>91</v>
      </c>
      <c r="H59" t="str">
        <f t="shared" si="16"/>
        <v>No</v>
      </c>
      <c r="I59" t="str">
        <f t="shared" si="19"/>
        <v>Yes</v>
      </c>
      <c r="J59" t="str">
        <f t="shared" ca="1" si="20"/>
        <v>Good bye</v>
      </c>
    </row>
    <row r="60" spans="1:17" x14ac:dyDescent="0.3">
      <c r="A60" s="46" t="s">
        <v>65</v>
      </c>
      <c r="B60" s="46"/>
      <c r="C60" s="47">
        <v>15955</v>
      </c>
      <c r="D60" s="46"/>
      <c r="E60" s="45">
        <f t="shared" ca="1" si="17"/>
        <v>83</v>
      </c>
      <c r="F60" s="45" t="str">
        <f t="shared" ca="1" si="18"/>
        <v>Send-Off</v>
      </c>
      <c r="G60" t="s">
        <v>91</v>
      </c>
      <c r="H60" t="str">
        <f t="shared" si="16"/>
        <v>No</v>
      </c>
      <c r="I60" t="str">
        <f t="shared" si="19"/>
        <v>Yes</v>
      </c>
      <c r="J60" t="str">
        <f t="shared" ca="1" si="20"/>
        <v>Good bye</v>
      </c>
    </row>
    <row r="61" spans="1:17" x14ac:dyDescent="0.3">
      <c r="A61" s="46" t="s">
        <v>66</v>
      </c>
      <c r="B61" s="46"/>
      <c r="C61" s="47">
        <v>36558</v>
      </c>
      <c r="D61" s="46"/>
      <c r="E61" s="45">
        <f t="shared" ca="1" si="17"/>
        <v>26</v>
      </c>
      <c r="F61" s="45" t="str">
        <f t="shared" ca="1" si="18"/>
        <v>Active</v>
      </c>
      <c r="G61" t="s">
        <v>89</v>
      </c>
      <c r="H61" t="str">
        <f t="shared" si="16"/>
        <v>No</v>
      </c>
      <c r="I61" t="str">
        <f t="shared" si="19"/>
        <v>No</v>
      </c>
      <c r="J61" t="str">
        <f t="shared" ca="1" si="20"/>
        <v>Good bye</v>
      </c>
    </row>
  </sheetData>
  <mergeCells count="67"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D50:E50"/>
    <mergeCell ref="F50:G50"/>
    <mergeCell ref="D51:E51"/>
    <mergeCell ref="F51:G51"/>
    <mergeCell ref="A55:B55"/>
    <mergeCell ref="C55:D55"/>
    <mergeCell ref="D47:E47"/>
    <mergeCell ref="F47:G47"/>
    <mergeCell ref="D48:E48"/>
    <mergeCell ref="F48:G48"/>
    <mergeCell ref="D49:E49"/>
    <mergeCell ref="F49:G49"/>
    <mergeCell ref="E32:F37"/>
    <mergeCell ref="D45:E45"/>
    <mergeCell ref="F45:G45"/>
    <mergeCell ref="D46:E46"/>
    <mergeCell ref="F46:G46"/>
    <mergeCell ref="G31:H31"/>
    <mergeCell ref="I31:J31"/>
    <mergeCell ref="G32:H32"/>
    <mergeCell ref="G33:H33"/>
    <mergeCell ref="G34:H34"/>
    <mergeCell ref="G35:H35"/>
    <mergeCell ref="G36:H36"/>
    <mergeCell ref="G37:H37"/>
    <mergeCell ref="I33:J33"/>
    <mergeCell ref="I32:J32"/>
    <mergeCell ref="I34:J34"/>
    <mergeCell ref="I35:J35"/>
    <mergeCell ref="I36:J36"/>
    <mergeCell ref="I37:J37"/>
    <mergeCell ref="I15:O15"/>
    <mergeCell ref="E20:F20"/>
    <mergeCell ref="E21:F21"/>
    <mergeCell ref="E22:F22"/>
    <mergeCell ref="E23:F23"/>
    <mergeCell ref="E16:F16"/>
    <mergeCell ref="E17:F17"/>
    <mergeCell ref="E18:F18"/>
    <mergeCell ref="E19:F19"/>
    <mergeCell ref="A15:F15"/>
    <mergeCell ref="I16:K21"/>
    <mergeCell ref="L16:O21"/>
    <mergeCell ref="I22:K28"/>
    <mergeCell ref="L22:O28"/>
    <mergeCell ref="A20:D20"/>
    <mergeCell ref="A21:D21"/>
    <mergeCell ref="A22:D22"/>
    <mergeCell ref="A23:D23"/>
    <mergeCell ref="A24:D24"/>
    <mergeCell ref="E24:F24"/>
    <mergeCell ref="A16:D16"/>
    <mergeCell ref="A17:D17"/>
    <mergeCell ref="A18:D18"/>
    <mergeCell ref="A19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Category</vt:lpstr>
      <vt:lpstr>Country</vt:lpstr>
      <vt:lpstr>Gender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Amachree</dc:creator>
  <cp:lastModifiedBy>Tonye Amachree</cp:lastModifiedBy>
  <dcterms:created xsi:type="dcterms:W3CDTF">2026-10-14T15:11:48Z</dcterms:created>
  <dcterms:modified xsi:type="dcterms:W3CDTF">2026-10-15T15:28:24Z</dcterms:modified>
</cp:coreProperties>
</file>